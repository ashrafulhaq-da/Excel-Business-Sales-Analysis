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New folder\New folder\"/>
    </mc:Choice>
  </mc:AlternateContent>
  <xr:revisionPtr revIDLastSave="0" documentId="13_ncr:1_{5BDF0F49-42F6-483C-99D7-B0085C484155}" xr6:coauthVersionLast="47" xr6:coauthVersionMax="47" xr10:uidLastSave="{00000000-0000-0000-0000-000000000000}"/>
  <bookViews>
    <workbookView xWindow="-108" yWindow="-108" windowWidth="23256" windowHeight="13896" xr2:uid="{EADBAE50-DFA0-406E-A80B-A9877E1EAC92}"/>
  </bookViews>
  <sheets>
    <sheet name="table" sheetId="1" r:id="rId1"/>
    <sheet name="DESCRIPTIVE STATISTICS" sheetId="6" r:id="rId2"/>
    <sheet name="Data Analysis" sheetId="8" r:id="rId3"/>
    <sheet name="report" sheetId="5" r:id="rId4"/>
  </sheets>
  <definedNames>
    <definedName name="_xlchart.v1.0" hidden="1">table!$E$1</definedName>
    <definedName name="_xlchart.v1.1" hidden="1">table!$E$2:$E$244</definedName>
    <definedName name="_xlchart.v1.2" hidden="1">table!$J:$J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" i="1"/>
  <c r="B9" i="5" l="1"/>
  <c r="B11" i="5"/>
  <c r="B10" i="5"/>
  <c r="B8" i="5"/>
  <c r="B7" i="5"/>
  <c r="B5" i="5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" i="1"/>
  <c r="B4" i="5" l="1"/>
  <c r="B3" i="5" s="1"/>
</calcChain>
</file>

<file path=xl/sharedStrings.xml><?xml version="1.0" encoding="utf-8"?>
<sst xmlns="http://schemas.openxmlformats.org/spreadsheetml/2006/main" count="1532" uniqueCount="71">
  <si>
    <t>Order ID</t>
  </si>
  <si>
    <t>Date</t>
  </si>
  <si>
    <t>Product</t>
  </si>
  <si>
    <t>Price</t>
  </si>
  <si>
    <t>Quantity</t>
  </si>
  <si>
    <t>Cost</t>
  </si>
  <si>
    <t>Purchase Type</t>
  </si>
  <si>
    <t>Payment Method</t>
  </si>
  <si>
    <t>Manager</t>
  </si>
  <si>
    <t>City</t>
  </si>
  <si>
    <t xml:space="preserve">Online </t>
  </si>
  <si>
    <t xml:space="preserve"> Gift Card</t>
  </si>
  <si>
    <t>London</t>
  </si>
  <si>
    <t>Madrid</t>
  </si>
  <si>
    <t xml:space="preserve">In-store </t>
  </si>
  <si>
    <t>Lisbon</t>
  </si>
  <si>
    <t xml:space="preserve"> Credit Card</t>
  </si>
  <si>
    <t>Berlin</t>
  </si>
  <si>
    <t>Paris</t>
  </si>
  <si>
    <t xml:space="preserve">Drive-thru </t>
  </si>
  <si>
    <t xml:space="preserve"> Cash</t>
  </si>
  <si>
    <t>Hugo Lopez</t>
  </si>
  <si>
    <t xml:space="preserve">       Hugo Lopez</t>
  </si>
  <si>
    <t>Afonso    Santos</t>
  </si>
  <si>
    <t>Afonso Santos</t>
  </si>
  <si>
    <t>Hugo    Lopez</t>
  </si>
  <si>
    <t>Hugo  Lopez</t>
  </si>
  <si>
    <t>Marc    Laurent</t>
  </si>
  <si>
    <t>Marc Laurent</t>
  </si>
  <si>
    <t>John      Johnson</t>
  </si>
  <si>
    <t>John Johnson</t>
  </si>
  <si>
    <t>Hans Wagner</t>
  </si>
  <si>
    <t>Convenience Items</t>
  </si>
  <si>
    <t>Personal Care Products</t>
  </si>
  <si>
    <t>Beverages</t>
  </si>
  <si>
    <t>Household Items</t>
  </si>
  <si>
    <t>Groceries</t>
  </si>
  <si>
    <t>Manager Updated</t>
  </si>
  <si>
    <t>Quantity Updated</t>
  </si>
  <si>
    <t>Country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</si>
  <si>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</si>
  <si>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</si>
  <si>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</si>
  <si>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</si>
  <si>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</si>
  <si>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</si>
  <si>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</si>
  <si>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</si>
  <si>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</si>
  <si>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</si>
  <si>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</si>
  <si>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</si>
  <si>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</si>
  <si>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Profitability</t>
  </si>
  <si>
    <t>Row Labels</t>
  </si>
  <si>
    <t>Grand Total</t>
  </si>
  <si>
    <t>Nov</t>
  </si>
  <si>
    <t>Dec</t>
  </si>
  <si>
    <t>Sum of Profitability</t>
  </si>
  <si>
    <t>Total Sales</t>
  </si>
  <si>
    <t>Revenue</t>
  </si>
  <si>
    <t xml:space="preserve">Boxplot And Whisker </t>
  </si>
  <si>
    <t>Metrics</t>
  </si>
  <si>
    <t>Afonso Santos shows most outliers</t>
  </si>
  <si>
    <t>Sum of Revenue</t>
  </si>
  <si>
    <t>Total Revenue</t>
  </si>
  <si>
    <t>Total Profitability</t>
  </si>
  <si>
    <t>Column Labels</t>
  </si>
  <si>
    <t>Most Profitability Product</t>
  </si>
  <si>
    <t>Sales Trend</t>
  </si>
  <si>
    <t>Payment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</si>
</sst>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3" borderId="0" xfId="0" applyFont="1" applyFill="1"/>
    <xf numFmtId="0" fontId="3" fillId="4" borderId="0" xfId="0" applyFont="1" applyFill="1"/>
    <xf numFmtId="0" fontId="4" fillId="0" borderId="0" xfId="0" applyFont="1"/>
    <xf numFmtId="0" fontId="0" fillId="0" borderId="1" xfId="0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10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outline="0">
        <top style="medium">
          <color indexed="64"/>
        </top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[MIS128 EXCEL ASSIGNMENT_c.xlsx]Data Analysis!PivotTable6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layout>
            <c:manualLayout>
              <c:x val="5.7544757033248163E-2"/>
              <c:y val="3.96301188903566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"/>
        <c:spPr>
          <a:solidFill>
            <a:schemeClr val="tx1"/>
          </a:solidFill>
          <a:ln>
            <a:noFill/>
          </a:ln>
          <a:effectLst/>
          <a:sp3d/>
        </c:spPr>
        <c:dLbl>
          <c:idx val="0"/>
          <c:layout>
            <c:manualLayout>
              <c:x val="6.6069906223358829E-2"/>
              <c:y val="4.40334654337294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1.7050298380221655E-2"/>
              <c:y val="-8.806693086745927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layout>
            <c:manualLayout>
              <c:x val="2.557544757033248E-2"/>
              <c:y val="-2.20167327168648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layout>
            <c:manualLayout>
              <c:x val="3.6231884057971016E-2"/>
              <c:y val="-4.40334654337296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2.7706734867860187E-2"/>
              <c:y val="-1.32100396301189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1"/>
          </a:solidFill>
          <a:ln>
            <a:noFill/>
          </a:ln>
          <a:effectLst/>
          <a:sp3d/>
        </c:spPr>
        <c:dLbl>
          <c:idx val="0"/>
          <c:layout>
            <c:manualLayout>
              <c:x val="1.0656436487638494E-2"/>
              <c:y val="-4.40334654337296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'Data Analysis'!$H$6:$H$7</c:f>
              <c:strCache>
                <c:ptCount val="1"/>
                <c:pt idx="0">
                  <c:v> 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7706734867860187E-2"/>
                  <c:y val="-1.3210039630118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73-4F50-8FB4-82FAD1EC5D49}"/>
                </c:ext>
              </c:extLst>
            </c:dLbl>
            <c:dLbl>
              <c:idx val="1"/>
              <c:layout>
                <c:manualLayout>
                  <c:x val="-1.7050298380221655E-2"/>
                  <c:y val="-8.80669308674592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73-4F50-8FB4-82FAD1EC5D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Analysis'!$G$8:$G$11</c:f>
              <c:strCache>
                <c:ptCount val="3"/>
                <c:pt idx="0">
                  <c:v>Drive-thru </c:v>
                </c:pt>
                <c:pt idx="1">
                  <c:v>In-store </c:v>
                </c:pt>
                <c:pt idx="2">
                  <c:v>Online </c:v>
                </c:pt>
              </c:strCache>
            </c:strRef>
          </c:cat>
          <c:val>
            <c:numRef>
              <c:f>'Data Analysis'!$H$8:$H$11</c:f>
              <c:numCache>
                <c:formatCode>0.00%</c:formatCode>
                <c:ptCount val="3"/>
                <c:pt idx="0">
                  <c:v>6.8487928973868656E-2</c:v>
                </c:pt>
                <c:pt idx="1">
                  <c:v>0.18805015404889563</c:v>
                </c:pt>
                <c:pt idx="2">
                  <c:v>5.412415949176029E-2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3-4F50-8FB4-82FAD1EC5D49}"/>
            </c:ext>
          </c:extLst>
        </c:ser>
        <c:ser>
          <c:idx val="1"/>
          <c:order val="1"/>
          <c:tx>
            <c:strRef>
              <c:f>'Data Analysis'!$I$6:$I$7</c:f>
              <c:strCache>
                <c:ptCount val="1"/>
                <c:pt idx="0">
                  <c:v> Credit Card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0656436487638494E-2"/>
                  <c:y val="-4.40334654337296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873-4F50-8FB4-82FAD1EC5D49}"/>
                </c:ext>
              </c:extLst>
            </c:dLbl>
            <c:dLbl>
              <c:idx val="1"/>
              <c:layout>
                <c:manualLayout>
                  <c:x val="6.6069906223358829E-2"/>
                  <c:y val="4.40334654337294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73-4F50-8FB4-82FAD1EC5D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Analysis'!$G$8:$G$11</c:f>
              <c:strCache>
                <c:ptCount val="3"/>
                <c:pt idx="0">
                  <c:v>Drive-thru </c:v>
                </c:pt>
                <c:pt idx="1">
                  <c:v>In-store </c:v>
                </c:pt>
                <c:pt idx="2">
                  <c:v>Online </c:v>
                </c:pt>
              </c:strCache>
            </c:strRef>
          </c:cat>
          <c:val>
            <c:numRef>
              <c:f>'Data Analysis'!$I$8:$I$11</c:f>
              <c:numCache>
                <c:formatCode>0.00%</c:formatCode>
                <c:ptCount val="3"/>
                <c:pt idx="0">
                  <c:v>0.11797333575079087</c:v>
                </c:pt>
                <c:pt idx="1">
                  <c:v>0.17880786052704156</c:v>
                </c:pt>
                <c:pt idx="2">
                  <c:v>0.17347165595072278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3-4F50-8FB4-82FAD1EC5D49}"/>
            </c:ext>
          </c:extLst>
        </c:ser>
        <c:ser>
          <c:idx val="2"/>
          <c:order val="2"/>
          <c:tx>
            <c:strRef>
              <c:f>'Data Analysis'!$J$6:$J$7</c:f>
              <c:strCache>
                <c:ptCount val="1"/>
                <c:pt idx="0">
                  <c:v> Gift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6231884057971016E-2"/>
                  <c:y val="-4.40334654337296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73-4F50-8FB4-82FAD1EC5D49}"/>
                </c:ext>
              </c:extLst>
            </c:dLbl>
            <c:dLbl>
              <c:idx val="1"/>
              <c:layout>
                <c:manualLayout>
                  <c:x val="2.557544757033248E-2"/>
                  <c:y val="-2.20167327168648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73-4F50-8FB4-82FAD1EC5D49}"/>
                </c:ext>
              </c:extLst>
            </c:dLbl>
            <c:dLbl>
              <c:idx val="2"/>
              <c:layout>
                <c:manualLayout>
                  <c:x val="5.7544757033248163E-2"/>
                  <c:y val="3.96301188903566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73-4F50-8FB4-82FAD1EC5D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Analysis'!$G$8:$G$11</c:f>
              <c:strCache>
                <c:ptCount val="3"/>
                <c:pt idx="0">
                  <c:v>Drive-thru </c:v>
                </c:pt>
                <c:pt idx="1">
                  <c:v>In-store </c:v>
                </c:pt>
                <c:pt idx="2">
                  <c:v>Online </c:v>
                </c:pt>
              </c:strCache>
            </c:strRef>
          </c:cat>
          <c:val>
            <c:numRef>
              <c:f>'Data Analysis'!$J$8:$J$11</c:f>
              <c:numCache>
                <c:formatCode>0.00%</c:formatCode>
                <c:ptCount val="3"/>
                <c:pt idx="0">
                  <c:v>4.5967673163839852E-2</c:v>
                </c:pt>
                <c:pt idx="1">
                  <c:v>3.9103143744739022E-3</c:v>
                </c:pt>
                <c:pt idx="2">
                  <c:v>0.16920691771860641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73-4F50-8FB4-82FAD1EC5D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973370896"/>
        <c:axId val="973368976"/>
        <c:axId val="0"/>
      </c:bar3DChart>
      <c:catAx>
        <c:axId val="97337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68976"/>
        <c:crosses val="autoZero"/>
        <c:auto val="1"/>
        <c:lblAlgn val="ctr"/>
        <c:lblOffset val="100"/>
        <c:noMultiLvlLbl val="0"/>
      </c:catAx>
      <c:valAx>
        <c:axId val="9733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70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plotArea>
      <cx:plotAreaRegion>
        <cx:series layoutId="boxWhisker" uniqueId="{1013D5FA-8D15-47ED-B9A1-23FB62E9F753}">
          <cx:tx>
            <cx:txData>
              <cx:f>_xlchart.v1.0</cx:f>
              <cx:v>Quantity Updated</cx:v>
            </cx:txData>
          </cx:tx>
          <cx:dataLabels pos="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7</xdr:row>
      <xdr:rowOff>30480</xdr:rowOff>
    </xdr:from>
    <xdr:to>
      <xdr:col>17</xdr:col>
      <xdr:colOff>533400</xdr:colOff>
      <xdr:row>23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B567AAD-3D82-4543-ADB7-D1420CF516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90260" y="1394460"/>
              <a:ext cx="6903720" cy="3009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2</xdr:row>
      <xdr:rowOff>144780</xdr:rowOff>
    </xdr:from>
    <xdr:to>
      <xdr:col>12</xdr:col>
      <xdr:colOff>182880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16A944-A0F3-4CF3-93C8-2F466C18D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35.84900115741" createdVersion="8" refreshedVersion="8" minRefreshableVersion="3" recordCount="243" xr:uid="{7FF6535D-5544-44CD-803B-A43AB58F7431}">
  <cacheSource type="worksheet">
    <worksheetSource ref="A1:O244" sheet="table"/>
  </cacheSource>
  <cacheFields count="16">
    <cacheField name="Order ID" numFmtId="0">
      <sharedItems containsSemiMixedTypes="0" containsString="0" containsNumber="1" containsInteger="1" minValue="20904" maxValue="21426"/>
    </cacheField>
    <cacheField name="Date" numFmtId="14">
      <sharedItems containsSemiMixedTypes="0" containsNonDate="0" containsDate="1" containsString="0" minDate="2023-11-07T00:00:00" maxDate="2023-12-30T00:00:00" count="50">
        <d v="2023-11-07T00:00:00"/>
        <d v="2023-11-08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</sharedItems>
      <fieldGroup par="15"/>
    </cacheField>
    <cacheField name="Product" numFmtId="0">
      <sharedItems count="5">
        <s v="Personal Care Products"/>
        <s v="Beverages"/>
        <s v="Convenience Items"/>
        <s v="Groceries"/>
        <s v="Household Items"/>
      </sharedItems>
    </cacheField>
    <cacheField name="Price" numFmtId="2">
      <sharedItems containsSemiMixedTypes="0" containsString="0" containsNumber="1" minValue="7.375" maxValue="83.05"/>
    </cacheField>
    <cacheField name="Quantity Updated" numFmtId="2">
      <sharedItems containsSemiMixedTypes="0" containsString="0" containsNumber="1" containsInteger="1" minValue="21" maxValue="76"/>
    </cacheField>
    <cacheField name="Quantity" numFmtId="2">
      <sharedItems containsSemiMixedTypes="0" containsString="0" containsNumber="1" minValue="20.040080160320638" maxValue="75.442648190916088"/>
    </cacheField>
    <cacheField name="Cost" numFmtId="0">
      <sharedItems containsSemiMixedTypes="0" containsString="0" containsNumber="1" minValue="2.3499999999999996" maxValue="21.6"/>
    </cacheField>
    <cacheField name="Purchase Type" numFmtId="0">
      <sharedItems count="3">
        <s v="Online "/>
        <s v="In-store "/>
        <s v="Drive-thru "/>
      </sharedItems>
    </cacheField>
    <cacheField name="Payment Method" numFmtId="0">
      <sharedItems count="3">
        <s v=" Gift Card"/>
        <s v=" Credit Card"/>
        <s v=" Cash"/>
      </sharedItems>
    </cacheField>
    <cacheField name="Manager Updated" numFmtId="0">
      <sharedItems/>
    </cacheField>
    <cacheField name="Manager" numFmtId="0">
      <sharedItems/>
    </cacheField>
    <cacheField name="City" numFmtId="0">
      <sharedItems/>
    </cacheField>
    <cacheField name="Country" numFmtId="0">
      <sharedItems/>
    </cacheField>
    <cacheField name="Profitability" numFmtId="0">
      <sharedItems containsSemiMixedTypes="0" containsString="0" containsNumber="1" minValue="-1066.875" maxValue="5487.6"/>
    </cacheField>
    <cacheField name="Revenue" numFmtId="0">
      <sharedItems containsSemiMixedTypes="0" containsString="0" containsNumber="1" minValue="261.97500000000002" maxValue="5647.4"/>
    </cacheField>
    <cacheField name="Months (Date)" numFmtId="0" databaseField="0">
      <fieldGroup base="1">
        <rangePr groupBy="months" startDate="2023-11-07T00:00:00" endDate="2023-12-30T00:00:00"/>
        <groupItems count="14">
          <s v="&lt;11/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n v="20904"/>
    <x v="0"/>
    <x v="0"/>
    <n v="8.7250000000000014"/>
    <n v="58"/>
    <n v="57.306590257879598"/>
    <n v="4.4000000000000004"/>
    <x v="0"/>
    <x v="0"/>
    <s v="John Johnson"/>
    <s v="John      Johnson"/>
    <s v="London"/>
    <s v="UK"/>
    <n v="250.85000000000005"/>
    <n v="506.05000000000007"/>
  </r>
  <r>
    <n v="20906"/>
    <x v="0"/>
    <x v="1"/>
    <n v="7.375"/>
    <n v="75"/>
    <n v="74.576271186440664"/>
    <n v="2.3499999999999996"/>
    <x v="0"/>
    <x v="0"/>
    <s v="Hugo Lopez"/>
    <s v="       Hugo Lopez"/>
    <s v="Madrid"/>
    <s v="Spain"/>
    <n v="376.875"/>
    <n v="553.125"/>
  </r>
  <r>
    <n v="20908"/>
    <x v="0"/>
    <x v="2"/>
    <n v="12.475000000000001"/>
    <n v="21"/>
    <n v="20.040080160320638"/>
    <n v="11.25"/>
    <x v="1"/>
    <x v="0"/>
    <s v="Afonso Santos"/>
    <s v="Afonso    Santos"/>
    <s v="Lisbon"/>
    <s v="Portugal"/>
    <n v="25.72500000000003"/>
    <n v="261.97500000000002"/>
  </r>
  <r>
    <n v="20910"/>
    <x v="1"/>
    <x v="3"/>
    <n v="32.475000000000001"/>
    <n v="57"/>
    <n v="56.96689761354888"/>
    <n v="21.6"/>
    <x v="1"/>
    <x v="1"/>
    <s v="Hans Wagner"/>
    <s v="Hans Wagner"/>
    <s v="Berlin"/>
    <s v="Germany"/>
    <n v="619.875"/>
    <n v="1851.075"/>
  </r>
  <r>
    <n v="20912"/>
    <x v="1"/>
    <x v="4"/>
    <n v="24.875"/>
    <n v="21"/>
    <n v="20.100502512562819"/>
    <n v="14.25"/>
    <x v="1"/>
    <x v="1"/>
    <s v="Hans Wagner"/>
    <s v="Hans Wagner"/>
    <s v="Berlin"/>
    <s v="Germany"/>
    <n v="223.125"/>
    <n v="522.375"/>
  </r>
  <r>
    <n v="20914"/>
    <x v="1"/>
    <x v="0"/>
    <n v="8.7250000000000014"/>
    <n v="58"/>
    <n v="57.306590257879648"/>
    <n v="4.4000000000000004"/>
    <x v="1"/>
    <x v="1"/>
    <s v="Marc Laurent"/>
    <s v="Marc    Laurent"/>
    <s v="Paris"/>
    <s v="France"/>
    <n v="250.85000000000005"/>
    <n v="506.05000000000007"/>
  </r>
  <r>
    <n v="20918"/>
    <x v="1"/>
    <x v="2"/>
    <n v="12.475000000000001"/>
    <n v="21"/>
    <n v="20.040080160320638"/>
    <n v="11.25"/>
    <x v="1"/>
    <x v="1"/>
    <s v="Hans Wagner"/>
    <s v="Hans Wagner"/>
    <s v="Berlin"/>
    <s v="Germany"/>
    <n v="25.72500000000003"/>
    <n v="261.97500000000002"/>
  </r>
  <r>
    <n v="20950"/>
    <x v="2"/>
    <x v="3"/>
    <n v="32.475000000000001"/>
    <n v="53"/>
    <n v="52.347959969207082"/>
    <n v="21.6"/>
    <x v="1"/>
    <x v="1"/>
    <s v="Hugo Lopez"/>
    <s v="       Hugo Lopez"/>
    <s v="Madrid"/>
    <s v="Spain"/>
    <n v="576.375"/>
    <n v="1721.1750000000002"/>
  </r>
  <r>
    <n v="20952"/>
    <x v="2"/>
    <x v="4"/>
    <n v="24.875"/>
    <n v="21"/>
    <n v="20.100502512562819"/>
    <n v="14.25"/>
    <x v="1"/>
    <x v="1"/>
    <s v="Hugo Lopez"/>
    <s v="Hugo Lopez"/>
    <s v="Madrid"/>
    <s v="Spain"/>
    <n v="223.125"/>
    <n v="522.375"/>
  </r>
  <r>
    <n v="20954"/>
    <x v="2"/>
    <x v="0"/>
    <n v="8.7250000000000014"/>
    <n v="64"/>
    <n v="63.03724928366762"/>
    <n v="4.4000000000000004"/>
    <x v="1"/>
    <x v="1"/>
    <s v="Hugo Lopez"/>
    <s v="Hugo  Lopez"/>
    <s v="Madrid"/>
    <s v="Spain"/>
    <n v="276.80000000000007"/>
    <n v="558.40000000000009"/>
  </r>
  <r>
    <n v="20956"/>
    <x v="2"/>
    <x v="1"/>
    <n v="7.375"/>
    <n v="68"/>
    <n v="67.796610169491515"/>
    <n v="2.3499999999999996"/>
    <x v="1"/>
    <x v="1"/>
    <s v="Hugo Lopez"/>
    <s v="Hugo Lopez"/>
    <s v="Madrid"/>
    <s v="Spain"/>
    <n v="341.70000000000005"/>
    <n v="501.5"/>
  </r>
  <r>
    <n v="20958"/>
    <x v="2"/>
    <x v="2"/>
    <n v="12.475000000000001"/>
    <n v="21"/>
    <n v="20.040080160320638"/>
    <n v="11.25"/>
    <x v="1"/>
    <x v="1"/>
    <s v="Hugo Lopez"/>
    <s v="Hugo    Lopez"/>
    <s v="Madrid"/>
    <s v="Spain"/>
    <n v="25.72500000000003"/>
    <n v="261.97500000000002"/>
  </r>
  <r>
    <n v="20960"/>
    <x v="3"/>
    <x v="3"/>
    <n v="32.475000000000001"/>
    <n v="51"/>
    <n v="50.808314087759818"/>
    <n v="21.6"/>
    <x v="1"/>
    <x v="1"/>
    <s v="Hugo Lopez"/>
    <s v="Hugo Lopez"/>
    <s v="Madrid"/>
    <s v="Spain"/>
    <n v="554.625"/>
    <n v="1656.2250000000001"/>
  </r>
  <r>
    <n v="20962"/>
    <x v="3"/>
    <x v="4"/>
    <n v="24.875"/>
    <n v="21"/>
    <n v="20.100502512562819"/>
    <n v="14.25"/>
    <x v="1"/>
    <x v="1"/>
    <s v="Hugo Lopez"/>
    <s v="Hugo Lopez"/>
    <s v="Madrid"/>
    <s v="Spain"/>
    <n v="223.125"/>
    <n v="522.375"/>
  </r>
  <r>
    <n v="20964"/>
    <x v="3"/>
    <x v="0"/>
    <n v="63.75"/>
    <n v="64"/>
    <n v="63.03724928366762"/>
    <n v="4.4000000000000004"/>
    <x v="1"/>
    <x v="1"/>
    <s v="Afonso Santos"/>
    <s v="Afonso Santos"/>
    <s v="Lisbon"/>
    <s v="Portugal"/>
    <n v="3798.4"/>
    <n v="4080"/>
  </r>
  <r>
    <n v="20966"/>
    <x v="3"/>
    <x v="1"/>
    <n v="83.05"/>
    <n v="68"/>
    <n v="67.796610169491515"/>
    <n v="2.3499999999999996"/>
    <x v="1"/>
    <x v="1"/>
    <s v="Afonso Santos"/>
    <s v="Afonso    Santos"/>
    <s v="Lisbon"/>
    <s v="Portugal"/>
    <n v="5487.6"/>
    <n v="5647.4"/>
  </r>
  <r>
    <n v="20966"/>
    <x v="3"/>
    <x v="1"/>
    <n v="7.375"/>
    <n v="68"/>
    <n v="67.796610169491515"/>
    <n v="2.3499999999999996"/>
    <x v="1"/>
    <x v="1"/>
    <s v="Afonso Santos"/>
    <s v="Afonso    Santos"/>
    <s v="Lisbon"/>
    <s v="Portugal"/>
    <n v="341.70000000000005"/>
    <n v="501.5"/>
  </r>
  <r>
    <n v="20968"/>
    <x v="3"/>
    <x v="2"/>
    <n v="53.6"/>
    <n v="21"/>
    <n v="20.040080160320638"/>
    <n v="21.6"/>
    <x v="1"/>
    <x v="1"/>
    <s v="Afonso Santos"/>
    <s v="Afonso    Santos"/>
    <s v="Lisbon"/>
    <s v="Portugal"/>
    <n v="672"/>
    <n v="1125.6000000000001"/>
  </r>
  <r>
    <n v="20968"/>
    <x v="3"/>
    <x v="2"/>
    <n v="12.475000000000001"/>
    <n v="21"/>
    <n v="20.040080160320638"/>
    <n v="21.6"/>
    <x v="1"/>
    <x v="1"/>
    <s v="Afonso Santos"/>
    <s v="Afonso    Santos"/>
    <s v="Lisbon"/>
    <s v="Portugal"/>
    <n v="-191.625"/>
    <n v="261.97500000000002"/>
  </r>
  <r>
    <n v="20970"/>
    <x v="4"/>
    <x v="3"/>
    <n v="69.974999999999994"/>
    <n v="53"/>
    <n v="52.347959969207082"/>
    <n v="11.25"/>
    <x v="1"/>
    <x v="1"/>
    <s v="Afonso Santos"/>
    <s v="Afonso    Santos"/>
    <s v="Lisbon"/>
    <s v="Portugal"/>
    <n v="3112.4249999999997"/>
    <n v="3708.6749999999997"/>
  </r>
  <r>
    <n v="20970"/>
    <x v="4"/>
    <x v="3"/>
    <n v="32.475000000000001"/>
    <n v="53"/>
    <n v="52.347959969207082"/>
    <n v="11.25"/>
    <x v="1"/>
    <x v="1"/>
    <s v="Afonso Santos"/>
    <s v="Afonso    Santos"/>
    <s v="Lisbon"/>
    <s v="Portugal"/>
    <n v="1124.9250000000002"/>
    <n v="1721.1750000000002"/>
  </r>
  <r>
    <n v="20972"/>
    <x v="4"/>
    <x v="4"/>
    <n v="72.625"/>
    <n v="21"/>
    <n v="20.100502512562819"/>
    <n v="14.25"/>
    <x v="1"/>
    <x v="1"/>
    <s v="Afonso Santos"/>
    <s v="Afonso    Santos"/>
    <s v="Lisbon"/>
    <s v="Portugal"/>
    <n v="1225.875"/>
    <n v="1525.125"/>
  </r>
  <r>
    <n v="20974"/>
    <x v="4"/>
    <x v="0"/>
    <n v="8.7250000000000014"/>
    <n v="64"/>
    <n v="63.03724928366762"/>
    <n v="21.6"/>
    <x v="1"/>
    <x v="1"/>
    <s v="Afonso Santos"/>
    <s v="Afonso Santos"/>
    <s v="Lisbon"/>
    <s v="Portugal"/>
    <n v="-824"/>
    <n v="558.40000000000009"/>
  </r>
  <r>
    <n v="20976"/>
    <x v="4"/>
    <x v="1"/>
    <n v="7.375"/>
    <n v="68"/>
    <n v="67.796610169491515"/>
    <n v="4.4000000000000004"/>
    <x v="1"/>
    <x v="1"/>
    <s v="Afonso Santos"/>
    <s v="Afonso Santos"/>
    <s v="Lisbon"/>
    <s v="Portugal"/>
    <n v="202.29999999999998"/>
    <n v="501.5"/>
  </r>
  <r>
    <n v="20978"/>
    <x v="4"/>
    <x v="2"/>
    <n v="12.475000000000001"/>
    <n v="21"/>
    <n v="20.040080160320638"/>
    <n v="14.25"/>
    <x v="1"/>
    <x v="1"/>
    <s v="Hugo Lopez"/>
    <s v="Hugo Lopez"/>
    <s v="Madrid"/>
    <s v="Spain"/>
    <n v="-37.27499999999997"/>
    <n v="261.97500000000002"/>
  </r>
  <r>
    <n v="20980"/>
    <x v="5"/>
    <x v="3"/>
    <n v="32.475000000000001"/>
    <n v="51"/>
    <n v="50.808314087759818"/>
    <n v="4.4000000000000004"/>
    <x v="1"/>
    <x v="1"/>
    <s v="Hugo Lopez"/>
    <s v="Hugo Lopez"/>
    <s v="Madrid"/>
    <s v="Spain"/>
    <n v="1431.825"/>
    <n v="1656.2250000000001"/>
  </r>
  <r>
    <n v="20982"/>
    <x v="5"/>
    <x v="4"/>
    <n v="24.875"/>
    <n v="21"/>
    <n v="20.100502512562819"/>
    <n v="2.3499999999999996"/>
    <x v="1"/>
    <x v="1"/>
    <s v="Hugo Lopez"/>
    <s v="Hugo Lopez"/>
    <s v="Madrid"/>
    <s v="Spain"/>
    <n v="473.02499999999998"/>
    <n v="522.375"/>
  </r>
  <r>
    <n v="20984"/>
    <x v="5"/>
    <x v="0"/>
    <n v="8.7250000000000014"/>
    <n v="58"/>
    <n v="57.306590257879648"/>
    <n v="11.25"/>
    <x v="1"/>
    <x v="1"/>
    <s v="Hugo Lopez"/>
    <s v="Hugo Lopez"/>
    <s v="Madrid"/>
    <s v="Spain"/>
    <n v="-146.44999999999993"/>
    <n v="506.05000000000007"/>
  </r>
  <r>
    <n v="20986"/>
    <x v="5"/>
    <x v="1"/>
    <n v="7.375"/>
    <n v="68"/>
    <n v="67.796610169491515"/>
    <n v="21.6"/>
    <x v="1"/>
    <x v="1"/>
    <s v="Hugo Lopez"/>
    <s v="Hugo Lopez"/>
    <s v="Madrid"/>
    <s v="Spain"/>
    <n v="-967.30000000000007"/>
    <n v="501.5"/>
  </r>
  <r>
    <n v="20988"/>
    <x v="5"/>
    <x v="2"/>
    <n v="12.475000000000001"/>
    <n v="21"/>
    <n v="20.040080160320638"/>
    <n v="14.25"/>
    <x v="1"/>
    <x v="1"/>
    <s v="Hugo Lopez"/>
    <s v="Hugo Lopez"/>
    <s v="Madrid"/>
    <s v="Spain"/>
    <n v="-37.27499999999997"/>
    <n v="261.97500000000002"/>
  </r>
  <r>
    <n v="20990"/>
    <x v="6"/>
    <x v="3"/>
    <n v="32.475000000000001"/>
    <n v="51"/>
    <n v="50.808314087759818"/>
    <n v="4.4000000000000004"/>
    <x v="1"/>
    <x v="1"/>
    <s v="Hugo Lopez"/>
    <s v="Hugo Lopez"/>
    <s v="Madrid"/>
    <s v="Spain"/>
    <n v="1431.825"/>
    <n v="1656.2250000000001"/>
  </r>
  <r>
    <n v="20992"/>
    <x v="6"/>
    <x v="4"/>
    <n v="24.875"/>
    <n v="21"/>
    <n v="20.100502512562819"/>
    <n v="2.3499999999999996"/>
    <x v="1"/>
    <x v="1"/>
    <s v="Hugo Lopez"/>
    <s v="Hugo Lopez"/>
    <s v="Madrid"/>
    <s v="Spain"/>
    <n v="473.02499999999998"/>
    <n v="522.375"/>
  </r>
  <r>
    <n v="20994"/>
    <x v="6"/>
    <x v="0"/>
    <n v="8.7250000000000014"/>
    <n v="58"/>
    <n v="57.306590257879648"/>
    <n v="11.25"/>
    <x v="1"/>
    <x v="1"/>
    <s v="Hugo Lopez"/>
    <s v="Hugo Lopez"/>
    <s v="Madrid"/>
    <s v="Spain"/>
    <n v="-146.44999999999993"/>
    <n v="506.05000000000007"/>
  </r>
  <r>
    <n v="20996"/>
    <x v="6"/>
    <x v="1"/>
    <n v="7.375"/>
    <n v="68"/>
    <n v="67.796610169491515"/>
    <n v="21.6"/>
    <x v="2"/>
    <x v="1"/>
    <s v="Hugo Lopez"/>
    <s v="Hugo Lopez"/>
    <s v="Madrid"/>
    <s v="Spain"/>
    <n v="-967.30000000000007"/>
    <n v="501.5"/>
  </r>
  <r>
    <n v="20998"/>
    <x v="6"/>
    <x v="2"/>
    <n v="12.475000000000001"/>
    <n v="21"/>
    <n v="20.040080160320638"/>
    <n v="14.25"/>
    <x v="2"/>
    <x v="1"/>
    <s v="Hugo Lopez"/>
    <s v="Hugo Lopez"/>
    <s v="Madrid"/>
    <s v="Spain"/>
    <n v="-37.27499999999997"/>
    <n v="261.97500000000002"/>
  </r>
  <r>
    <n v="21000"/>
    <x v="7"/>
    <x v="3"/>
    <n v="32.475000000000001"/>
    <n v="53"/>
    <n v="52.347959969207082"/>
    <n v="4.4000000000000004"/>
    <x v="2"/>
    <x v="1"/>
    <s v="Hugo Lopez"/>
    <s v="Hugo Lopez"/>
    <s v="Madrid"/>
    <s v="Spain"/>
    <n v="1487.9750000000001"/>
    <n v="1721.1750000000002"/>
  </r>
  <r>
    <n v="21002"/>
    <x v="7"/>
    <x v="4"/>
    <n v="24.875"/>
    <n v="21"/>
    <n v="20.100502512562819"/>
    <n v="2.3499999999999996"/>
    <x v="2"/>
    <x v="1"/>
    <s v="Hugo Lopez"/>
    <s v="Hugo Lopez"/>
    <s v="Madrid"/>
    <s v="Spain"/>
    <n v="473.02499999999998"/>
    <n v="522.375"/>
  </r>
  <r>
    <n v="21004"/>
    <x v="7"/>
    <x v="0"/>
    <n v="8.7250000000000014"/>
    <n v="64"/>
    <n v="63.03724928366762"/>
    <n v="11.25"/>
    <x v="2"/>
    <x v="1"/>
    <s v="Hugo Lopez"/>
    <s v="Hugo Lopez"/>
    <s v="Madrid"/>
    <s v="Spain"/>
    <n v="-161.59999999999991"/>
    <n v="558.40000000000009"/>
  </r>
  <r>
    <n v="21006"/>
    <x v="7"/>
    <x v="1"/>
    <n v="7.375"/>
    <n v="68"/>
    <n v="67.796610169491515"/>
    <n v="21.6"/>
    <x v="2"/>
    <x v="1"/>
    <s v="Hugo Lopez"/>
    <s v="Hugo Lopez"/>
    <s v="Madrid"/>
    <s v="Spain"/>
    <n v="-967.30000000000007"/>
    <n v="501.5"/>
  </r>
  <r>
    <n v="21008"/>
    <x v="7"/>
    <x v="2"/>
    <n v="12.475000000000001"/>
    <n v="21"/>
    <n v="20.040080160320638"/>
    <n v="14.25"/>
    <x v="2"/>
    <x v="1"/>
    <s v="Hugo Lopez"/>
    <s v="Hugo Lopez"/>
    <s v="Madrid"/>
    <s v="Spain"/>
    <n v="-37.27499999999997"/>
    <n v="261.97500000000002"/>
  </r>
  <r>
    <n v="21010"/>
    <x v="8"/>
    <x v="3"/>
    <n v="32.475000000000001"/>
    <n v="54"/>
    <n v="53.887605850654346"/>
    <n v="4.4000000000000004"/>
    <x v="2"/>
    <x v="1"/>
    <s v="Hugo Lopez"/>
    <s v="Hugo Lopez"/>
    <s v="Madrid"/>
    <s v="Spain"/>
    <n v="1516.0500000000002"/>
    <n v="1753.65"/>
  </r>
  <r>
    <n v="21012"/>
    <x v="8"/>
    <x v="4"/>
    <n v="24.875"/>
    <n v="21"/>
    <n v="20.100502512562819"/>
    <n v="2.3499999999999996"/>
    <x v="2"/>
    <x v="1"/>
    <s v="Hugo Lopez"/>
    <s v="Hugo Lopez"/>
    <s v="Madrid"/>
    <s v="Spain"/>
    <n v="473.02499999999998"/>
    <n v="522.375"/>
  </r>
  <r>
    <n v="21014"/>
    <x v="8"/>
    <x v="0"/>
    <n v="8.7250000000000014"/>
    <n v="69"/>
    <n v="68.767908309455578"/>
    <n v="11.25"/>
    <x v="2"/>
    <x v="1"/>
    <s v="Hugo Lopez"/>
    <s v="Hugo Lopez"/>
    <s v="Madrid"/>
    <s v="Spain"/>
    <n v="-174.22499999999991"/>
    <n v="602.02500000000009"/>
  </r>
  <r>
    <n v="21016"/>
    <x v="8"/>
    <x v="1"/>
    <n v="7.375"/>
    <n v="68"/>
    <n v="67.796610169491515"/>
    <n v="21.6"/>
    <x v="2"/>
    <x v="1"/>
    <s v="Hugo Lopez"/>
    <s v="Hugo Lopez"/>
    <s v="Madrid"/>
    <s v="Spain"/>
    <n v="-967.30000000000007"/>
    <n v="501.5"/>
  </r>
  <r>
    <n v="21018"/>
    <x v="8"/>
    <x v="2"/>
    <n v="12.475000000000001"/>
    <n v="21"/>
    <n v="20.040080160320638"/>
    <n v="14.25"/>
    <x v="2"/>
    <x v="1"/>
    <s v="Hugo Lopez"/>
    <s v="Hugo Lopez"/>
    <s v="Madrid"/>
    <s v="Spain"/>
    <n v="-37.27499999999997"/>
    <n v="261.97500000000002"/>
  </r>
  <r>
    <n v="21020"/>
    <x v="9"/>
    <x v="3"/>
    <n v="32.475000000000001"/>
    <n v="51"/>
    <n v="50.808314087759818"/>
    <n v="4.4000000000000004"/>
    <x v="2"/>
    <x v="1"/>
    <s v="Hugo Lopez"/>
    <s v="Hugo Lopez"/>
    <s v="Madrid"/>
    <s v="Spain"/>
    <n v="1431.825"/>
    <n v="1656.2250000000001"/>
  </r>
  <r>
    <n v="21022"/>
    <x v="9"/>
    <x v="4"/>
    <n v="24.875"/>
    <n v="21"/>
    <n v="20.100502512562819"/>
    <n v="2.3499999999999996"/>
    <x v="2"/>
    <x v="1"/>
    <s v="Afonso Santos"/>
    <s v="Afonso Santos"/>
    <s v="Lisbon"/>
    <s v="Portugal"/>
    <n v="473.02499999999998"/>
    <n v="522.375"/>
  </r>
  <r>
    <n v="21024"/>
    <x v="9"/>
    <x v="0"/>
    <n v="8.7250000000000014"/>
    <n v="69"/>
    <n v="68.767908309455578"/>
    <n v="11.25"/>
    <x v="2"/>
    <x v="1"/>
    <s v="Afonso Santos"/>
    <s v="Afonso Santos"/>
    <s v="Lisbon"/>
    <s v="Portugal"/>
    <n v="-174.22499999999991"/>
    <n v="602.02500000000009"/>
  </r>
  <r>
    <n v="21026"/>
    <x v="9"/>
    <x v="1"/>
    <n v="7.375"/>
    <n v="68"/>
    <n v="67.796610169491515"/>
    <n v="21.6"/>
    <x v="2"/>
    <x v="2"/>
    <s v="Afonso Santos"/>
    <s v="Afonso Santos"/>
    <s v="Lisbon"/>
    <s v="Portugal"/>
    <n v="-967.30000000000007"/>
    <n v="501.5"/>
  </r>
  <r>
    <n v="21028"/>
    <x v="9"/>
    <x v="2"/>
    <n v="12.475000000000001"/>
    <n v="21"/>
    <n v="20.040080160320638"/>
    <n v="14.25"/>
    <x v="2"/>
    <x v="2"/>
    <s v="Afonso Santos"/>
    <s v="Afonso Santos"/>
    <s v="Lisbon"/>
    <s v="Portugal"/>
    <n v="-37.27499999999997"/>
    <n v="261.97500000000002"/>
  </r>
  <r>
    <n v="21030"/>
    <x v="10"/>
    <x v="3"/>
    <n v="32.475000000000001"/>
    <n v="48"/>
    <n v="47.729022324865284"/>
    <n v="4.4000000000000004"/>
    <x v="2"/>
    <x v="2"/>
    <s v="Afonso Santos"/>
    <s v="Afonso Santos"/>
    <s v="Lisbon"/>
    <s v="Portugal"/>
    <n v="1347.6000000000001"/>
    <n v="1558.8000000000002"/>
  </r>
  <r>
    <n v="21032"/>
    <x v="10"/>
    <x v="4"/>
    <n v="24.875"/>
    <n v="21"/>
    <n v="20.100502512562819"/>
    <n v="2.3499999999999996"/>
    <x v="2"/>
    <x v="2"/>
    <s v="Afonso Santos"/>
    <s v="Afonso Santos"/>
    <s v="Lisbon"/>
    <s v="Portugal"/>
    <n v="473.02499999999998"/>
    <n v="522.375"/>
  </r>
  <r>
    <n v="21040"/>
    <x v="11"/>
    <x v="3"/>
    <n v="32.475000000000001"/>
    <n v="50"/>
    <n v="49.268668206312547"/>
    <n v="11.25"/>
    <x v="2"/>
    <x v="2"/>
    <s v="Marc Laurent"/>
    <s v="Marc Laurent"/>
    <s v="Paris"/>
    <s v="France"/>
    <n v="1061.25"/>
    <n v="1623.75"/>
  </r>
  <r>
    <n v="21042"/>
    <x v="11"/>
    <x v="4"/>
    <n v="24.875"/>
    <n v="21"/>
    <n v="20.100502512562819"/>
    <n v="21.6"/>
    <x v="2"/>
    <x v="2"/>
    <s v="Marc Laurent"/>
    <s v="Marc Laurent"/>
    <s v="Paris"/>
    <s v="France"/>
    <n v="68.774999999999977"/>
    <n v="522.375"/>
  </r>
  <r>
    <n v="21044"/>
    <x v="11"/>
    <x v="0"/>
    <n v="8.7250000000000014"/>
    <n v="69"/>
    <n v="68.767908309455578"/>
    <n v="14.25"/>
    <x v="2"/>
    <x v="2"/>
    <s v="Marc Laurent"/>
    <s v="Marc Laurent"/>
    <s v="Paris"/>
    <s v="France"/>
    <n v="-381.22499999999991"/>
    <n v="602.02500000000009"/>
  </r>
  <r>
    <n v="21046"/>
    <x v="11"/>
    <x v="1"/>
    <n v="7.375"/>
    <n v="75"/>
    <n v="74.576271186440664"/>
    <n v="2.3499999999999996"/>
    <x v="2"/>
    <x v="2"/>
    <s v="Marc Laurent"/>
    <s v="Marc Laurent"/>
    <s v="Paris"/>
    <s v="France"/>
    <n v="376.875"/>
    <n v="553.125"/>
  </r>
  <r>
    <n v="21048"/>
    <x v="11"/>
    <x v="2"/>
    <n v="12.475000000000001"/>
    <n v="21"/>
    <n v="20.040080160320638"/>
    <n v="11.25"/>
    <x v="2"/>
    <x v="2"/>
    <s v="Marc Laurent"/>
    <s v="Marc Laurent"/>
    <s v="Paris"/>
    <s v="France"/>
    <n v="25.72500000000003"/>
    <n v="261.97500000000002"/>
  </r>
  <r>
    <n v="21050"/>
    <x v="12"/>
    <x v="3"/>
    <n v="32.475000000000001"/>
    <n v="47"/>
    <n v="46.189376443418013"/>
    <n v="21.6"/>
    <x v="2"/>
    <x v="2"/>
    <s v="Marc Laurent"/>
    <s v="Marc Laurent"/>
    <s v="Paris"/>
    <s v="France"/>
    <n v="511.125"/>
    <n v="1526.325"/>
  </r>
  <r>
    <n v="21052"/>
    <x v="12"/>
    <x v="4"/>
    <n v="24.875"/>
    <n v="21"/>
    <n v="20.100502512562819"/>
    <n v="14.25"/>
    <x v="2"/>
    <x v="2"/>
    <s v="Marc Laurent"/>
    <s v="Marc Laurent"/>
    <s v="Paris"/>
    <s v="France"/>
    <n v="223.125"/>
    <n v="522.375"/>
  </r>
  <r>
    <n v="21054"/>
    <x v="12"/>
    <x v="0"/>
    <n v="8.7250000000000014"/>
    <n v="69"/>
    <n v="68.767908309455578"/>
    <n v="4.4000000000000004"/>
    <x v="2"/>
    <x v="2"/>
    <s v="Marc Laurent"/>
    <s v="Marc Laurent"/>
    <s v="Paris"/>
    <s v="France"/>
    <n v="298.42500000000007"/>
    <n v="602.02500000000009"/>
  </r>
  <r>
    <n v="21056"/>
    <x v="12"/>
    <x v="1"/>
    <n v="7.375"/>
    <n v="75"/>
    <n v="74.576271186440664"/>
    <n v="2.3499999999999996"/>
    <x v="2"/>
    <x v="2"/>
    <s v="Marc Laurent"/>
    <s v="Marc Laurent"/>
    <s v="Paris"/>
    <s v="France"/>
    <n v="376.875"/>
    <n v="553.125"/>
  </r>
  <r>
    <n v="21058"/>
    <x v="12"/>
    <x v="2"/>
    <n v="12.475000000000001"/>
    <n v="21"/>
    <n v="20.040080160320638"/>
    <n v="11.25"/>
    <x v="2"/>
    <x v="2"/>
    <s v="Marc Laurent"/>
    <s v="Marc Laurent"/>
    <s v="Paris"/>
    <s v="France"/>
    <n v="25.72500000000003"/>
    <n v="261.97500000000002"/>
  </r>
  <r>
    <n v="21060"/>
    <x v="13"/>
    <x v="3"/>
    <n v="32.475000000000001"/>
    <n v="48"/>
    <n v="47.729022324865284"/>
    <n v="21.6"/>
    <x v="2"/>
    <x v="2"/>
    <s v="Marc Laurent"/>
    <s v="Marc Laurent"/>
    <s v="Paris"/>
    <s v="France"/>
    <n v="522"/>
    <n v="1558.8000000000002"/>
  </r>
  <r>
    <n v="21062"/>
    <x v="13"/>
    <x v="4"/>
    <n v="24.875"/>
    <n v="21"/>
    <n v="20.100502512562819"/>
    <n v="14.25"/>
    <x v="2"/>
    <x v="2"/>
    <s v="Marc Laurent"/>
    <s v="Marc Laurent"/>
    <s v="Paris"/>
    <s v="France"/>
    <n v="223.125"/>
    <n v="522.375"/>
  </r>
  <r>
    <n v="21064"/>
    <x v="13"/>
    <x v="0"/>
    <n v="8.7250000000000014"/>
    <n v="69"/>
    <n v="68.767908309455578"/>
    <n v="4.4000000000000004"/>
    <x v="2"/>
    <x v="2"/>
    <s v="Afonso Santos"/>
    <s v="Afonso Santos"/>
    <s v="Lisbon"/>
    <s v="Portugal"/>
    <n v="298.42500000000007"/>
    <n v="602.02500000000009"/>
  </r>
  <r>
    <n v="21066"/>
    <x v="13"/>
    <x v="1"/>
    <n v="7.375"/>
    <n v="75"/>
    <n v="74.576271186440664"/>
    <n v="2.3499999999999996"/>
    <x v="2"/>
    <x v="2"/>
    <s v="Afonso Santos"/>
    <s v="Afonso Santos"/>
    <s v="Lisbon"/>
    <s v="Portugal"/>
    <n v="376.875"/>
    <n v="553.125"/>
  </r>
  <r>
    <n v="21068"/>
    <x v="13"/>
    <x v="2"/>
    <n v="12.475000000000001"/>
    <n v="21"/>
    <n v="20.040080160320638"/>
    <n v="11.25"/>
    <x v="2"/>
    <x v="2"/>
    <s v="Hugo Lopez"/>
    <s v="Hugo Lopez"/>
    <s v="Madrid"/>
    <s v="Spain"/>
    <n v="25.72500000000003"/>
    <n v="261.97500000000002"/>
  </r>
  <r>
    <n v="21070"/>
    <x v="14"/>
    <x v="3"/>
    <n v="32.475000000000001"/>
    <n v="48"/>
    <n v="47.729022324865284"/>
    <n v="21.6"/>
    <x v="2"/>
    <x v="1"/>
    <s v="Hugo Lopez"/>
    <s v="Hugo Lopez"/>
    <s v="Madrid"/>
    <s v="Spain"/>
    <n v="522"/>
    <n v="1558.8000000000002"/>
  </r>
  <r>
    <n v="21072"/>
    <x v="14"/>
    <x v="4"/>
    <n v="24.875"/>
    <n v="21"/>
    <n v="20.100502512562819"/>
    <n v="14.25"/>
    <x v="2"/>
    <x v="1"/>
    <s v="Hugo Lopez"/>
    <s v="Hugo Lopez"/>
    <s v="Madrid"/>
    <s v="Spain"/>
    <n v="223.125"/>
    <n v="522.375"/>
  </r>
  <r>
    <n v="21074"/>
    <x v="14"/>
    <x v="0"/>
    <n v="8.7250000000000014"/>
    <n v="64"/>
    <n v="63.03724928366762"/>
    <n v="4.4000000000000004"/>
    <x v="2"/>
    <x v="1"/>
    <s v="Hugo Lopez"/>
    <s v="Hugo Lopez"/>
    <s v="Madrid"/>
    <s v="Spain"/>
    <n v="276.80000000000007"/>
    <n v="558.40000000000009"/>
  </r>
  <r>
    <n v="21076"/>
    <x v="14"/>
    <x v="1"/>
    <n v="7.375"/>
    <n v="75"/>
    <n v="74.576271186440664"/>
    <n v="2.3499999999999996"/>
    <x v="2"/>
    <x v="1"/>
    <s v="Hugo Lopez"/>
    <s v="Hugo Lopez"/>
    <s v="Madrid"/>
    <s v="Spain"/>
    <n v="376.875"/>
    <n v="553.125"/>
  </r>
  <r>
    <n v="21078"/>
    <x v="14"/>
    <x v="2"/>
    <n v="12.475000000000001"/>
    <n v="21"/>
    <n v="20.040080160320638"/>
    <n v="11.25"/>
    <x v="2"/>
    <x v="1"/>
    <s v="Hugo Lopez"/>
    <s v="Hugo Lopez"/>
    <s v="Madrid"/>
    <s v="Spain"/>
    <n v="25.72500000000003"/>
    <n v="261.97500000000002"/>
  </r>
  <r>
    <n v="21080"/>
    <x v="15"/>
    <x v="3"/>
    <n v="32.475000000000001"/>
    <n v="47"/>
    <n v="46.189376443418013"/>
    <n v="21.6"/>
    <x v="2"/>
    <x v="1"/>
    <s v="Hugo Lopez"/>
    <s v="Hugo Lopez"/>
    <s v="Madrid"/>
    <s v="Spain"/>
    <n v="511.125"/>
    <n v="1526.325"/>
  </r>
  <r>
    <n v="21082"/>
    <x v="15"/>
    <x v="4"/>
    <n v="24.875"/>
    <n v="21"/>
    <n v="20.100502512562819"/>
    <n v="2.3499999999999996"/>
    <x v="2"/>
    <x v="1"/>
    <s v="John Johnson"/>
    <s v="John Johnson"/>
    <s v="London"/>
    <s v="UK"/>
    <n v="473.02499999999998"/>
    <n v="522.375"/>
  </r>
  <r>
    <n v="21084"/>
    <x v="15"/>
    <x v="0"/>
    <n v="8.7250000000000014"/>
    <n v="64"/>
    <n v="63.03724928366762"/>
    <n v="14.25"/>
    <x v="2"/>
    <x v="1"/>
    <s v="John Johnson"/>
    <s v="John Johnson"/>
    <s v="London"/>
    <s v="UK"/>
    <n v="-353.59999999999991"/>
    <n v="558.40000000000009"/>
  </r>
  <r>
    <n v="21086"/>
    <x v="15"/>
    <x v="1"/>
    <n v="7.375"/>
    <n v="75"/>
    <n v="74.576271186440664"/>
    <n v="11.25"/>
    <x v="2"/>
    <x v="1"/>
    <s v="John Johnson"/>
    <s v="John Johnson"/>
    <s v="London"/>
    <s v="UK"/>
    <n v="-290.625"/>
    <n v="553.125"/>
  </r>
  <r>
    <n v="21088"/>
    <x v="15"/>
    <x v="2"/>
    <n v="12.475000000000001"/>
    <n v="21"/>
    <n v="20.040080160320638"/>
    <n v="4.4000000000000004"/>
    <x v="2"/>
    <x v="1"/>
    <s v="John Johnson"/>
    <s v="John Johnson"/>
    <s v="London"/>
    <s v="UK"/>
    <n v="169.57500000000002"/>
    <n v="261.97500000000002"/>
  </r>
  <r>
    <n v="21090"/>
    <x v="16"/>
    <x v="3"/>
    <n v="32.475000000000001"/>
    <n v="45"/>
    <n v="44.649730561970742"/>
    <n v="21.6"/>
    <x v="2"/>
    <x v="1"/>
    <s v="John Johnson"/>
    <s v="John Johnson"/>
    <s v="London"/>
    <s v="UK"/>
    <n v="489.375"/>
    <n v="1461.375"/>
  </r>
  <r>
    <n v="21092"/>
    <x v="16"/>
    <x v="4"/>
    <n v="24.875"/>
    <n v="21"/>
    <n v="20.100502512562819"/>
    <n v="2.3499999999999996"/>
    <x v="2"/>
    <x v="1"/>
    <s v="John Johnson"/>
    <s v="John Johnson"/>
    <s v="London"/>
    <s v="UK"/>
    <n v="473.02499999999998"/>
    <n v="522.375"/>
  </r>
  <r>
    <n v="21094"/>
    <x v="16"/>
    <x v="0"/>
    <n v="8.7250000000000014"/>
    <n v="64"/>
    <n v="63.03724928366762"/>
    <n v="11.25"/>
    <x v="2"/>
    <x v="1"/>
    <s v="John Johnson"/>
    <s v="John Johnson"/>
    <s v="London"/>
    <s v="UK"/>
    <n v="-161.59999999999991"/>
    <n v="558.40000000000009"/>
  </r>
  <r>
    <n v="21096"/>
    <x v="16"/>
    <x v="1"/>
    <n v="7.375"/>
    <n v="75"/>
    <n v="74.576271186440664"/>
    <n v="21.6"/>
    <x v="2"/>
    <x v="1"/>
    <s v="John Johnson"/>
    <s v="John Johnson"/>
    <s v="London"/>
    <s v="UK"/>
    <n v="-1066.875"/>
    <n v="553.125"/>
  </r>
  <r>
    <n v="21098"/>
    <x v="16"/>
    <x v="2"/>
    <n v="12.475000000000001"/>
    <n v="21"/>
    <n v="20.040080160320638"/>
    <n v="14.25"/>
    <x v="2"/>
    <x v="1"/>
    <s v="John Johnson"/>
    <s v="John Johnson"/>
    <s v="London"/>
    <s v="UK"/>
    <n v="-37.27499999999997"/>
    <n v="261.97500000000002"/>
  </r>
  <r>
    <n v="21100"/>
    <x v="17"/>
    <x v="3"/>
    <n v="32.475000000000001"/>
    <n v="47"/>
    <n v="46.189376443418013"/>
    <n v="4.4000000000000004"/>
    <x v="2"/>
    <x v="1"/>
    <s v="John Johnson"/>
    <s v="John Johnson"/>
    <s v="London"/>
    <s v="UK"/>
    <n v="1319.5250000000001"/>
    <n v="1526.325"/>
  </r>
  <r>
    <n v="21102"/>
    <x v="17"/>
    <x v="4"/>
    <n v="24.875"/>
    <n v="21"/>
    <n v="20.100502512562819"/>
    <n v="2.3499999999999996"/>
    <x v="2"/>
    <x v="1"/>
    <s v="John Johnson"/>
    <s v="John Johnson"/>
    <s v="London"/>
    <s v="UK"/>
    <n v="473.02499999999998"/>
    <n v="522.375"/>
  </r>
  <r>
    <n v="21104"/>
    <x v="17"/>
    <x v="0"/>
    <n v="8.7250000000000014"/>
    <n v="64"/>
    <n v="63.03724928366762"/>
    <n v="11.25"/>
    <x v="0"/>
    <x v="1"/>
    <s v="John Johnson"/>
    <s v="John Johnson"/>
    <s v="London"/>
    <s v="UK"/>
    <n v="-161.59999999999991"/>
    <n v="558.40000000000009"/>
  </r>
  <r>
    <n v="21106"/>
    <x v="17"/>
    <x v="1"/>
    <n v="7.375"/>
    <n v="75"/>
    <n v="74.576271186440664"/>
    <n v="21.6"/>
    <x v="0"/>
    <x v="1"/>
    <s v="John Johnson"/>
    <s v="John Johnson"/>
    <s v="London"/>
    <s v="UK"/>
    <n v="-1066.875"/>
    <n v="553.125"/>
  </r>
  <r>
    <n v="21108"/>
    <x v="17"/>
    <x v="2"/>
    <n v="12.475000000000001"/>
    <n v="21"/>
    <n v="20.040080160320638"/>
    <n v="14.25"/>
    <x v="0"/>
    <x v="1"/>
    <s v="John Johnson"/>
    <s v="John Johnson"/>
    <s v="London"/>
    <s v="UK"/>
    <n v="-37.27499999999997"/>
    <n v="261.97500000000002"/>
  </r>
  <r>
    <n v="21110"/>
    <x v="18"/>
    <x v="3"/>
    <n v="32.475000000000001"/>
    <n v="48"/>
    <n v="47.729022324865284"/>
    <n v="4.4000000000000004"/>
    <x v="0"/>
    <x v="1"/>
    <s v="John Johnson"/>
    <s v="John Johnson"/>
    <s v="London"/>
    <s v="UK"/>
    <n v="1347.6000000000001"/>
    <n v="1558.8000000000002"/>
  </r>
  <r>
    <n v="21112"/>
    <x v="18"/>
    <x v="4"/>
    <n v="24.875"/>
    <n v="21"/>
    <n v="20.100502512562819"/>
    <n v="2.3499999999999996"/>
    <x v="0"/>
    <x v="1"/>
    <s v="John Johnson"/>
    <s v="John Johnson"/>
    <s v="London"/>
    <s v="UK"/>
    <n v="473.02499999999998"/>
    <n v="522.375"/>
  </r>
  <r>
    <n v="21114"/>
    <x v="18"/>
    <x v="0"/>
    <n v="8.7250000000000014"/>
    <n v="64"/>
    <n v="63.03724928366762"/>
    <n v="11.25"/>
    <x v="0"/>
    <x v="1"/>
    <s v="John Johnson"/>
    <s v="John Johnson"/>
    <s v="London"/>
    <s v="UK"/>
    <n v="-161.59999999999991"/>
    <n v="558.40000000000009"/>
  </r>
  <r>
    <n v="21116"/>
    <x v="18"/>
    <x v="1"/>
    <n v="7.375"/>
    <n v="68"/>
    <n v="67.796610169491515"/>
    <n v="21.6"/>
    <x v="0"/>
    <x v="1"/>
    <s v="John Johnson"/>
    <s v="John Johnson"/>
    <s v="London"/>
    <s v="UK"/>
    <n v="-967.30000000000007"/>
    <n v="501.5"/>
  </r>
  <r>
    <n v="21118"/>
    <x v="18"/>
    <x v="2"/>
    <n v="12.475000000000001"/>
    <n v="21"/>
    <n v="20.040080160320638"/>
    <n v="14.25"/>
    <x v="0"/>
    <x v="1"/>
    <s v="John Johnson"/>
    <s v="John Johnson"/>
    <s v="London"/>
    <s v="UK"/>
    <n v="-37.27499999999997"/>
    <n v="261.97500000000002"/>
  </r>
  <r>
    <n v="21120"/>
    <x v="19"/>
    <x v="3"/>
    <n v="32.475000000000001"/>
    <n v="48"/>
    <n v="47.729022324865284"/>
    <n v="4.4000000000000004"/>
    <x v="0"/>
    <x v="1"/>
    <s v="John Johnson"/>
    <s v="John Johnson"/>
    <s v="London"/>
    <s v="UK"/>
    <n v="1347.6000000000001"/>
    <n v="1558.8000000000002"/>
  </r>
  <r>
    <n v="21122"/>
    <x v="19"/>
    <x v="4"/>
    <n v="24.875"/>
    <n v="21"/>
    <n v="20.100502512562819"/>
    <n v="2.3499999999999996"/>
    <x v="0"/>
    <x v="1"/>
    <s v="John Johnson"/>
    <s v="John Johnson"/>
    <s v="London"/>
    <s v="UK"/>
    <n v="473.02499999999998"/>
    <n v="522.375"/>
  </r>
  <r>
    <n v="21124"/>
    <x v="19"/>
    <x v="0"/>
    <n v="8.7250000000000014"/>
    <n v="64"/>
    <n v="63.03724928366762"/>
    <n v="11.25"/>
    <x v="0"/>
    <x v="1"/>
    <s v="John Johnson"/>
    <s v="John Johnson"/>
    <s v="London"/>
    <s v="UK"/>
    <n v="-161.59999999999991"/>
    <n v="558.40000000000009"/>
  </r>
  <r>
    <n v="21126"/>
    <x v="19"/>
    <x v="1"/>
    <n v="7.375"/>
    <n v="68"/>
    <n v="67.796610169491515"/>
    <n v="21.6"/>
    <x v="0"/>
    <x v="1"/>
    <s v="John Johnson"/>
    <s v="John Johnson"/>
    <s v="London"/>
    <s v="UK"/>
    <n v="-967.30000000000007"/>
    <n v="501.5"/>
  </r>
  <r>
    <n v="21128"/>
    <x v="19"/>
    <x v="2"/>
    <n v="12.475000000000001"/>
    <n v="21"/>
    <n v="20.040080160320638"/>
    <n v="14.25"/>
    <x v="0"/>
    <x v="1"/>
    <s v="John Johnson"/>
    <s v="John Johnson"/>
    <s v="London"/>
    <s v="UK"/>
    <n v="-37.27499999999997"/>
    <n v="261.97500000000002"/>
  </r>
  <r>
    <n v="21130"/>
    <x v="20"/>
    <x v="3"/>
    <n v="32.475000000000001"/>
    <n v="50"/>
    <n v="49.268668206312547"/>
    <n v="4.4000000000000004"/>
    <x v="0"/>
    <x v="1"/>
    <s v="John Johnson"/>
    <s v="John Johnson"/>
    <s v="London"/>
    <s v="UK"/>
    <n v="1403.7500000000002"/>
    <n v="1623.75"/>
  </r>
  <r>
    <n v="21132"/>
    <x v="20"/>
    <x v="4"/>
    <n v="24.875"/>
    <n v="21"/>
    <n v="20.100502512562819"/>
    <n v="2.3499999999999996"/>
    <x v="0"/>
    <x v="1"/>
    <s v="John Johnson"/>
    <s v="John Johnson"/>
    <s v="London"/>
    <s v="UK"/>
    <n v="473.02499999999998"/>
    <n v="522.375"/>
  </r>
  <r>
    <n v="21134"/>
    <x v="20"/>
    <x v="0"/>
    <n v="8.7250000000000014"/>
    <n v="64"/>
    <n v="63.03724928366762"/>
    <n v="11.25"/>
    <x v="0"/>
    <x v="1"/>
    <s v="John Johnson"/>
    <s v="John Johnson"/>
    <s v="London"/>
    <s v="UK"/>
    <n v="-161.59999999999991"/>
    <n v="558.40000000000009"/>
  </r>
  <r>
    <n v="21136"/>
    <x v="20"/>
    <x v="1"/>
    <n v="7.375"/>
    <n v="68"/>
    <n v="67.796610169491515"/>
    <n v="21.6"/>
    <x v="0"/>
    <x v="1"/>
    <s v="John Johnson"/>
    <s v="John Johnson"/>
    <s v="London"/>
    <s v="UK"/>
    <n v="-967.30000000000007"/>
    <n v="501.5"/>
  </r>
  <r>
    <n v="21138"/>
    <x v="20"/>
    <x v="2"/>
    <n v="12.475000000000001"/>
    <n v="21"/>
    <n v="20.040080160320638"/>
    <n v="14.25"/>
    <x v="0"/>
    <x v="1"/>
    <s v="John Johnson"/>
    <s v="John Johnson"/>
    <s v="London"/>
    <s v="UK"/>
    <n v="-37.27499999999997"/>
    <n v="261.97500000000002"/>
  </r>
  <r>
    <n v="21140"/>
    <x v="21"/>
    <x v="3"/>
    <n v="32.475000000000001"/>
    <n v="50"/>
    <n v="49.268668206312547"/>
    <n v="4.4000000000000004"/>
    <x v="0"/>
    <x v="1"/>
    <s v="John Johnson"/>
    <s v="John Johnson"/>
    <s v="London"/>
    <s v="UK"/>
    <n v="1403.7500000000002"/>
    <n v="1623.75"/>
  </r>
  <r>
    <n v="21142"/>
    <x v="21"/>
    <x v="4"/>
    <n v="24.875"/>
    <n v="21"/>
    <n v="20.100502512562819"/>
    <n v="2.3499999999999996"/>
    <x v="0"/>
    <x v="1"/>
    <s v="John Johnson"/>
    <s v="John Johnson"/>
    <s v="London"/>
    <s v="UK"/>
    <n v="473.02499999999998"/>
    <n v="522.375"/>
  </r>
  <r>
    <n v="21144"/>
    <x v="21"/>
    <x v="0"/>
    <n v="8.7250000000000014"/>
    <n v="58"/>
    <n v="57.306590257879648"/>
    <n v="11.25"/>
    <x v="0"/>
    <x v="1"/>
    <s v="Marc Laurent"/>
    <s v="Marc Laurent"/>
    <s v="Paris"/>
    <s v="France"/>
    <n v="-146.44999999999993"/>
    <n v="506.05000000000007"/>
  </r>
  <r>
    <n v="21146"/>
    <x v="21"/>
    <x v="1"/>
    <n v="7.375"/>
    <n v="68"/>
    <n v="67.796610169491515"/>
    <n v="21.6"/>
    <x v="0"/>
    <x v="1"/>
    <s v="Marc Laurent"/>
    <s v="Marc Laurent"/>
    <s v="Paris"/>
    <s v="France"/>
    <n v="-967.30000000000007"/>
    <n v="501.5"/>
  </r>
  <r>
    <n v="21148"/>
    <x v="21"/>
    <x v="2"/>
    <n v="12.475000000000001"/>
    <n v="21"/>
    <n v="20.040080160320638"/>
    <n v="14.25"/>
    <x v="0"/>
    <x v="1"/>
    <s v="Marc Laurent"/>
    <s v="Marc Laurent"/>
    <s v="Paris"/>
    <s v="France"/>
    <n v="-37.27499999999997"/>
    <n v="261.97500000000002"/>
  </r>
  <r>
    <n v="21150"/>
    <x v="22"/>
    <x v="3"/>
    <n v="32.475000000000001"/>
    <n v="53"/>
    <n v="52.347959969207082"/>
    <n v="4.4000000000000004"/>
    <x v="0"/>
    <x v="1"/>
    <s v="Marc Laurent"/>
    <s v="Marc Laurent"/>
    <s v="Paris"/>
    <s v="France"/>
    <n v="1487.9750000000001"/>
    <n v="1721.1750000000002"/>
  </r>
  <r>
    <n v="21152"/>
    <x v="22"/>
    <x v="4"/>
    <n v="24.875"/>
    <n v="21"/>
    <n v="20.100502512562819"/>
    <n v="2.3499999999999996"/>
    <x v="0"/>
    <x v="1"/>
    <s v="Marc Laurent"/>
    <s v="Marc Laurent"/>
    <s v="Paris"/>
    <s v="France"/>
    <n v="473.02499999999998"/>
    <n v="522.375"/>
  </r>
  <r>
    <n v="21154"/>
    <x v="22"/>
    <x v="0"/>
    <n v="8.7250000000000014"/>
    <n v="64"/>
    <n v="63.03724928366762"/>
    <n v="11.25"/>
    <x v="0"/>
    <x v="1"/>
    <s v="Marc Laurent"/>
    <s v="Marc Laurent"/>
    <s v="Paris"/>
    <s v="France"/>
    <n v="-161.59999999999991"/>
    <n v="558.40000000000009"/>
  </r>
  <r>
    <n v="21156"/>
    <x v="22"/>
    <x v="1"/>
    <n v="7.375"/>
    <n v="68"/>
    <n v="67.796610169491515"/>
    <n v="21.6"/>
    <x v="0"/>
    <x v="1"/>
    <s v="Marc Laurent"/>
    <s v="Marc Laurent"/>
    <s v="Paris"/>
    <s v="France"/>
    <n v="-967.30000000000007"/>
    <n v="501.5"/>
  </r>
  <r>
    <n v="21158"/>
    <x v="22"/>
    <x v="2"/>
    <n v="12.475000000000001"/>
    <n v="21"/>
    <n v="20.040080160320638"/>
    <n v="14.25"/>
    <x v="0"/>
    <x v="1"/>
    <s v="Marc Laurent"/>
    <s v="Marc Laurent"/>
    <s v="Paris"/>
    <s v="France"/>
    <n v="-37.27499999999997"/>
    <n v="261.97500000000002"/>
  </r>
  <r>
    <n v="21160"/>
    <x v="23"/>
    <x v="3"/>
    <n v="32.475000000000001"/>
    <n v="53"/>
    <n v="52.347959969207082"/>
    <n v="4.4000000000000004"/>
    <x v="0"/>
    <x v="1"/>
    <s v="Marc Laurent"/>
    <s v="Marc Laurent"/>
    <s v="Paris"/>
    <s v="France"/>
    <n v="1487.9750000000001"/>
    <n v="1721.1750000000002"/>
  </r>
  <r>
    <n v="21162"/>
    <x v="23"/>
    <x v="4"/>
    <n v="24.875"/>
    <n v="21"/>
    <n v="20.100502512562819"/>
    <n v="2.3499999999999996"/>
    <x v="0"/>
    <x v="1"/>
    <s v="Marc Laurent"/>
    <s v="Marc Laurent"/>
    <s v="Paris"/>
    <s v="France"/>
    <n v="473.02499999999998"/>
    <n v="522.375"/>
  </r>
  <r>
    <n v="21164"/>
    <x v="23"/>
    <x v="0"/>
    <n v="8.7250000000000014"/>
    <n v="64"/>
    <n v="63.03724928366762"/>
    <n v="11.25"/>
    <x v="0"/>
    <x v="1"/>
    <s v="John Johnson"/>
    <s v="John Johnson"/>
    <s v="London"/>
    <s v="UK"/>
    <n v="-161.59999999999991"/>
    <n v="558.40000000000009"/>
  </r>
  <r>
    <n v="21166"/>
    <x v="23"/>
    <x v="1"/>
    <n v="7.375"/>
    <n v="68"/>
    <n v="67.796610169491515"/>
    <n v="21.6"/>
    <x v="0"/>
    <x v="1"/>
    <s v="John Johnson"/>
    <s v="John Johnson"/>
    <s v="London"/>
    <s v="UK"/>
    <n v="-967.30000000000007"/>
    <n v="501.5"/>
  </r>
  <r>
    <n v="21168"/>
    <x v="23"/>
    <x v="2"/>
    <n v="12.475000000000001"/>
    <n v="21"/>
    <n v="20.040080160320638"/>
    <n v="14.25"/>
    <x v="0"/>
    <x v="1"/>
    <s v="John Johnson"/>
    <s v="John Johnson"/>
    <s v="London"/>
    <s v="UK"/>
    <n v="-37.27499999999997"/>
    <n v="261.97500000000002"/>
  </r>
  <r>
    <n v="21170"/>
    <x v="24"/>
    <x v="3"/>
    <n v="32.475000000000001"/>
    <n v="54"/>
    <n v="53.887605850654346"/>
    <n v="4.4000000000000004"/>
    <x v="0"/>
    <x v="1"/>
    <s v="John Johnson"/>
    <s v="John Johnson"/>
    <s v="London"/>
    <s v="UK"/>
    <n v="1516.0500000000002"/>
    <n v="1753.65"/>
  </r>
  <r>
    <n v="21172"/>
    <x v="24"/>
    <x v="4"/>
    <n v="24.875"/>
    <n v="21"/>
    <n v="20.100502512562819"/>
    <n v="2.3499999999999996"/>
    <x v="0"/>
    <x v="1"/>
    <s v="John Johnson"/>
    <s v="John Johnson"/>
    <s v="London"/>
    <s v="UK"/>
    <n v="473.02499999999998"/>
    <n v="522.375"/>
  </r>
  <r>
    <n v="21180"/>
    <x v="25"/>
    <x v="3"/>
    <n v="32.475000000000001"/>
    <n v="56"/>
    <n v="55.427251732101617"/>
    <n v="11.25"/>
    <x v="0"/>
    <x v="1"/>
    <s v="John Johnson"/>
    <s v="John Johnson"/>
    <s v="London"/>
    <s v="UK"/>
    <n v="1188.6000000000001"/>
    <n v="1818.6000000000001"/>
  </r>
  <r>
    <n v="21182"/>
    <x v="25"/>
    <x v="4"/>
    <n v="24.875"/>
    <n v="21"/>
    <n v="20.100502512562819"/>
    <n v="21.6"/>
    <x v="0"/>
    <x v="1"/>
    <s v="John Johnson"/>
    <s v="John Johnson"/>
    <s v="London"/>
    <s v="UK"/>
    <n v="68.774999999999977"/>
    <n v="522.375"/>
  </r>
  <r>
    <n v="21184"/>
    <x v="25"/>
    <x v="0"/>
    <n v="8.7250000000000014"/>
    <n v="58"/>
    <n v="57.306590257879648"/>
    <n v="14.25"/>
    <x v="0"/>
    <x v="1"/>
    <s v="John Johnson"/>
    <s v="John Johnson"/>
    <s v="London"/>
    <s v="UK"/>
    <n v="-320.44999999999993"/>
    <n v="506.05000000000007"/>
  </r>
  <r>
    <n v="21186"/>
    <x v="25"/>
    <x v="1"/>
    <n v="7.375"/>
    <n v="68"/>
    <n v="67.796610169491515"/>
    <n v="21.6"/>
    <x v="0"/>
    <x v="1"/>
    <s v="John Johnson"/>
    <s v="John Johnson"/>
    <s v="London"/>
    <s v="UK"/>
    <n v="-967.30000000000007"/>
    <n v="501.5"/>
  </r>
  <r>
    <n v="21188"/>
    <x v="25"/>
    <x v="2"/>
    <n v="12.475000000000001"/>
    <n v="21"/>
    <n v="20.040080160320638"/>
    <n v="14.25"/>
    <x v="0"/>
    <x v="1"/>
    <s v="John Johnson"/>
    <s v="John Johnson"/>
    <s v="London"/>
    <s v="UK"/>
    <n v="-37.27499999999997"/>
    <n v="261.97500000000002"/>
  </r>
  <r>
    <n v="21190"/>
    <x v="26"/>
    <x v="3"/>
    <n v="32.475000000000001"/>
    <n v="54"/>
    <n v="53.887605850654346"/>
    <n v="4.4000000000000004"/>
    <x v="0"/>
    <x v="1"/>
    <s v="John Johnson"/>
    <s v="John Johnson"/>
    <s v="London"/>
    <s v="UK"/>
    <n v="1516.0500000000002"/>
    <n v="1753.65"/>
  </r>
  <r>
    <n v="21192"/>
    <x v="26"/>
    <x v="4"/>
    <n v="24.875"/>
    <n v="21"/>
    <n v="20.100502512562819"/>
    <n v="14.25"/>
    <x v="0"/>
    <x v="1"/>
    <s v="John Johnson"/>
    <s v="John Johnson"/>
    <s v="London"/>
    <s v="UK"/>
    <n v="223.125"/>
    <n v="522.375"/>
  </r>
  <r>
    <n v="21194"/>
    <x v="26"/>
    <x v="0"/>
    <n v="8.7250000000000014"/>
    <n v="58"/>
    <n v="57.306590257879648"/>
    <n v="4.4000000000000004"/>
    <x v="0"/>
    <x v="1"/>
    <s v="John Johnson"/>
    <s v="John Johnson"/>
    <s v="London"/>
    <s v="UK"/>
    <n v="250.85000000000005"/>
    <n v="506.05000000000007"/>
  </r>
  <r>
    <n v="21196"/>
    <x v="26"/>
    <x v="1"/>
    <n v="7.375"/>
    <n v="68"/>
    <n v="67.796610169491515"/>
    <n v="2.3499999999999996"/>
    <x v="0"/>
    <x v="1"/>
    <s v="John Johnson"/>
    <s v="John Johnson"/>
    <s v="London"/>
    <s v="UK"/>
    <n v="341.70000000000005"/>
    <n v="501.5"/>
  </r>
  <r>
    <n v="21198"/>
    <x v="26"/>
    <x v="2"/>
    <n v="12.475000000000001"/>
    <n v="21"/>
    <n v="20.040080160320638"/>
    <n v="11.25"/>
    <x v="0"/>
    <x v="1"/>
    <s v="John Johnson"/>
    <s v="John Johnson"/>
    <s v="London"/>
    <s v="UK"/>
    <n v="25.72500000000003"/>
    <n v="261.97500000000002"/>
  </r>
  <r>
    <n v="21200"/>
    <x v="27"/>
    <x v="3"/>
    <n v="32.475000000000001"/>
    <n v="53"/>
    <n v="52.347959969207082"/>
    <n v="21.6"/>
    <x v="0"/>
    <x v="1"/>
    <s v="John Johnson"/>
    <s v="John Johnson"/>
    <s v="London"/>
    <s v="UK"/>
    <n v="576.375"/>
    <n v="1721.1750000000002"/>
  </r>
  <r>
    <n v="21202"/>
    <x v="27"/>
    <x v="4"/>
    <n v="24.875"/>
    <n v="21"/>
    <n v="20.100502512562819"/>
    <n v="14.25"/>
    <x v="0"/>
    <x v="1"/>
    <s v="John Johnson"/>
    <s v="John Johnson"/>
    <s v="London"/>
    <s v="UK"/>
    <n v="223.125"/>
    <n v="522.375"/>
  </r>
  <r>
    <n v="21204"/>
    <x v="27"/>
    <x v="0"/>
    <n v="8.7250000000000014"/>
    <n v="64"/>
    <n v="63.03724928366762"/>
    <n v="4.4000000000000004"/>
    <x v="0"/>
    <x v="2"/>
    <s v="John Johnson"/>
    <s v="John Johnson"/>
    <s v="London"/>
    <s v="UK"/>
    <n v="276.80000000000007"/>
    <n v="558.40000000000009"/>
  </r>
  <r>
    <n v="21206"/>
    <x v="27"/>
    <x v="1"/>
    <n v="7.375"/>
    <n v="68"/>
    <n v="67.796610169491515"/>
    <n v="2.3499999999999996"/>
    <x v="0"/>
    <x v="2"/>
    <s v="John Johnson"/>
    <s v="John Johnson"/>
    <s v="London"/>
    <s v="UK"/>
    <n v="341.70000000000005"/>
    <n v="501.5"/>
  </r>
  <r>
    <n v="21208"/>
    <x v="27"/>
    <x v="2"/>
    <n v="12.475000000000001"/>
    <n v="21"/>
    <n v="20.040080160320638"/>
    <n v="11.25"/>
    <x v="0"/>
    <x v="2"/>
    <s v="John Johnson"/>
    <s v="John Johnson"/>
    <s v="London"/>
    <s v="UK"/>
    <n v="25.72500000000003"/>
    <n v="261.97500000000002"/>
  </r>
  <r>
    <n v="21210"/>
    <x v="28"/>
    <x v="3"/>
    <n v="32.475000000000001"/>
    <n v="54"/>
    <n v="53.887605850654346"/>
    <n v="21.6"/>
    <x v="0"/>
    <x v="2"/>
    <s v="John Johnson"/>
    <s v="John Johnson"/>
    <s v="London"/>
    <s v="UK"/>
    <n v="587.25"/>
    <n v="1753.65"/>
  </r>
  <r>
    <n v="21212"/>
    <x v="28"/>
    <x v="4"/>
    <n v="24.875"/>
    <n v="21"/>
    <n v="20.100502512562819"/>
    <n v="14.25"/>
    <x v="0"/>
    <x v="2"/>
    <s v="John Johnson"/>
    <s v="John Johnson"/>
    <s v="London"/>
    <s v="UK"/>
    <n v="223.125"/>
    <n v="522.375"/>
  </r>
  <r>
    <n v="21214"/>
    <x v="28"/>
    <x v="0"/>
    <n v="8.7250000000000014"/>
    <n v="64"/>
    <n v="63.03724928366762"/>
    <n v="4.4000000000000004"/>
    <x v="0"/>
    <x v="2"/>
    <s v="John Johnson"/>
    <s v="John Johnson"/>
    <s v="London"/>
    <s v="UK"/>
    <n v="276.80000000000007"/>
    <n v="558.40000000000009"/>
  </r>
  <r>
    <n v="21216"/>
    <x v="28"/>
    <x v="1"/>
    <n v="7.375"/>
    <n v="68"/>
    <n v="67.796610169491515"/>
    <n v="2.3499999999999996"/>
    <x v="0"/>
    <x v="0"/>
    <s v="John Johnson"/>
    <s v="John Johnson"/>
    <s v="London"/>
    <s v="UK"/>
    <n v="341.70000000000005"/>
    <n v="501.5"/>
  </r>
  <r>
    <n v="21218"/>
    <x v="28"/>
    <x v="2"/>
    <n v="12.475000000000001"/>
    <n v="21"/>
    <n v="20.040080160320638"/>
    <n v="11.25"/>
    <x v="0"/>
    <x v="0"/>
    <s v="John Johnson"/>
    <s v="John Johnson"/>
    <s v="London"/>
    <s v="UK"/>
    <n v="25.72500000000003"/>
    <n v="261.97500000000002"/>
  </r>
  <r>
    <n v="21220"/>
    <x v="29"/>
    <x v="3"/>
    <n v="32.475000000000001"/>
    <n v="57"/>
    <n v="56.96689761354888"/>
    <n v="21.6"/>
    <x v="0"/>
    <x v="0"/>
    <s v="John Johnson"/>
    <s v="John Johnson"/>
    <s v="London"/>
    <s v="UK"/>
    <n v="619.875"/>
    <n v="1851.075"/>
  </r>
  <r>
    <n v="21222"/>
    <x v="29"/>
    <x v="4"/>
    <n v="24.875"/>
    <n v="21"/>
    <n v="20.100502512562819"/>
    <n v="14.25"/>
    <x v="0"/>
    <x v="0"/>
    <s v="John Johnson"/>
    <s v="John Johnson"/>
    <s v="London"/>
    <s v="UK"/>
    <n v="223.125"/>
    <n v="522.375"/>
  </r>
  <r>
    <n v="21224"/>
    <x v="29"/>
    <x v="0"/>
    <n v="8.7250000000000014"/>
    <n v="64"/>
    <n v="63.03724928366762"/>
    <n v="4.4000000000000004"/>
    <x v="0"/>
    <x v="0"/>
    <s v="John Johnson"/>
    <s v="John Johnson"/>
    <s v="London"/>
    <s v="UK"/>
    <n v="276.80000000000007"/>
    <n v="558.40000000000009"/>
  </r>
  <r>
    <n v="21226"/>
    <x v="29"/>
    <x v="1"/>
    <n v="7.375"/>
    <n v="68"/>
    <n v="67.796610169491515"/>
    <n v="2.3499999999999996"/>
    <x v="0"/>
    <x v="0"/>
    <s v="John Johnson"/>
    <s v="John Johnson"/>
    <s v="London"/>
    <s v="UK"/>
    <n v="341.70000000000005"/>
    <n v="501.5"/>
  </r>
  <r>
    <n v="21228"/>
    <x v="29"/>
    <x v="2"/>
    <n v="12.475000000000001"/>
    <n v="21"/>
    <n v="20.040080160320638"/>
    <n v="11.25"/>
    <x v="0"/>
    <x v="0"/>
    <s v="John Johnson"/>
    <s v="John Johnson"/>
    <s v="London"/>
    <s v="UK"/>
    <n v="25.72500000000003"/>
    <n v="261.97500000000002"/>
  </r>
  <r>
    <n v="21230"/>
    <x v="30"/>
    <x v="3"/>
    <n v="32.475000000000001"/>
    <n v="57"/>
    <n v="56.96689761354888"/>
    <n v="21.6"/>
    <x v="0"/>
    <x v="0"/>
    <s v="John Johnson"/>
    <s v="John Johnson"/>
    <s v="London"/>
    <s v="UK"/>
    <n v="619.875"/>
    <n v="1851.075"/>
  </r>
  <r>
    <n v="21232"/>
    <x v="30"/>
    <x v="4"/>
    <n v="24.875"/>
    <n v="21"/>
    <n v="20.100502512562819"/>
    <n v="14.25"/>
    <x v="0"/>
    <x v="0"/>
    <s v="John Johnson"/>
    <s v="John Johnson"/>
    <s v="London"/>
    <s v="UK"/>
    <n v="223.125"/>
    <n v="522.375"/>
  </r>
  <r>
    <n v="21234"/>
    <x v="30"/>
    <x v="0"/>
    <n v="8.7250000000000014"/>
    <n v="64"/>
    <n v="63.03724928366762"/>
    <n v="4.4000000000000004"/>
    <x v="0"/>
    <x v="0"/>
    <s v="John Johnson"/>
    <s v="John Johnson"/>
    <s v="London"/>
    <s v="UK"/>
    <n v="276.80000000000007"/>
    <n v="558.40000000000009"/>
  </r>
  <r>
    <n v="21236"/>
    <x v="30"/>
    <x v="1"/>
    <n v="7.375"/>
    <n v="68"/>
    <n v="67.796610169491515"/>
    <n v="2.3499999999999996"/>
    <x v="0"/>
    <x v="0"/>
    <s v="John Johnson"/>
    <s v="John Johnson"/>
    <s v="London"/>
    <s v="UK"/>
    <n v="341.70000000000005"/>
    <n v="501.5"/>
  </r>
  <r>
    <n v="21238"/>
    <x v="30"/>
    <x v="2"/>
    <n v="12.475000000000001"/>
    <n v="21"/>
    <n v="20.040080160320638"/>
    <n v="11.25"/>
    <x v="0"/>
    <x v="0"/>
    <s v="John Johnson"/>
    <s v="John Johnson"/>
    <s v="London"/>
    <s v="UK"/>
    <n v="25.72500000000003"/>
    <n v="261.97500000000002"/>
  </r>
  <r>
    <n v="21240"/>
    <x v="31"/>
    <x v="3"/>
    <n v="32.475000000000001"/>
    <n v="59"/>
    <n v="58.506543494996151"/>
    <n v="21.6"/>
    <x v="0"/>
    <x v="0"/>
    <s v="John Johnson"/>
    <s v="John Johnson"/>
    <s v="London"/>
    <s v="UK"/>
    <n v="641.625"/>
    <n v="1916.0250000000001"/>
  </r>
  <r>
    <n v="21242"/>
    <x v="31"/>
    <x v="4"/>
    <n v="24.875"/>
    <n v="21"/>
    <n v="20.100502512562819"/>
    <n v="14.25"/>
    <x v="0"/>
    <x v="0"/>
    <s v="John Johnson"/>
    <s v="John Johnson"/>
    <s v="London"/>
    <s v="UK"/>
    <n v="223.125"/>
    <n v="522.375"/>
  </r>
  <r>
    <n v="21244"/>
    <x v="31"/>
    <x v="0"/>
    <n v="8.7250000000000014"/>
    <n v="64"/>
    <n v="63.03724928366762"/>
    <n v="4.4000000000000004"/>
    <x v="0"/>
    <x v="0"/>
    <s v="John Johnson"/>
    <s v="John Johnson"/>
    <s v="London"/>
    <s v="UK"/>
    <n v="276.80000000000007"/>
    <n v="558.40000000000009"/>
  </r>
  <r>
    <n v="21246"/>
    <x v="31"/>
    <x v="1"/>
    <n v="7.375"/>
    <n v="75"/>
    <n v="74.576271186440664"/>
    <n v="2.3499999999999996"/>
    <x v="0"/>
    <x v="0"/>
    <s v="John Johnson"/>
    <s v="John Johnson"/>
    <s v="London"/>
    <s v="UK"/>
    <n v="376.875"/>
    <n v="553.125"/>
  </r>
  <r>
    <n v="21248"/>
    <x v="31"/>
    <x v="2"/>
    <n v="12.475000000000001"/>
    <n v="21"/>
    <n v="20.040080160320638"/>
    <n v="11.25"/>
    <x v="0"/>
    <x v="0"/>
    <s v="John Johnson"/>
    <s v="John Johnson"/>
    <s v="London"/>
    <s v="UK"/>
    <n v="25.72500000000003"/>
    <n v="261.97500000000002"/>
  </r>
  <r>
    <n v="21250"/>
    <x v="32"/>
    <x v="3"/>
    <n v="32.475000000000001"/>
    <n v="57"/>
    <n v="56.96689761354888"/>
    <n v="21.6"/>
    <x v="0"/>
    <x v="0"/>
    <s v="John Johnson"/>
    <s v="John Johnson"/>
    <s v="London"/>
    <s v="UK"/>
    <n v="619.875"/>
    <n v="1851.075"/>
  </r>
  <r>
    <n v="21252"/>
    <x v="32"/>
    <x v="4"/>
    <n v="24.875"/>
    <n v="21"/>
    <n v="20.100502512562819"/>
    <n v="14.25"/>
    <x v="0"/>
    <x v="0"/>
    <s v="John Johnson"/>
    <s v="John Johnson"/>
    <s v="London"/>
    <s v="UK"/>
    <n v="223.125"/>
    <n v="522.375"/>
  </r>
  <r>
    <n v="21254"/>
    <x v="32"/>
    <x v="0"/>
    <n v="8.7250000000000014"/>
    <n v="64"/>
    <n v="63.03724928366762"/>
    <n v="4.4000000000000004"/>
    <x v="0"/>
    <x v="0"/>
    <s v="John Johnson"/>
    <s v="John Johnson"/>
    <s v="London"/>
    <s v="UK"/>
    <n v="276.80000000000007"/>
    <n v="558.40000000000009"/>
  </r>
  <r>
    <n v="21256"/>
    <x v="32"/>
    <x v="1"/>
    <n v="7.375"/>
    <n v="68"/>
    <n v="67.796610169491515"/>
    <n v="2.3499999999999996"/>
    <x v="0"/>
    <x v="0"/>
    <s v="Afonso Santos"/>
    <s v="Afonso Santos"/>
    <s v="Lisbon"/>
    <s v="Portugal"/>
    <n v="341.70000000000005"/>
    <n v="501.5"/>
  </r>
  <r>
    <n v="21258"/>
    <x v="32"/>
    <x v="2"/>
    <n v="12.475000000000001"/>
    <n v="21"/>
    <n v="20.040080160320638"/>
    <n v="11.25"/>
    <x v="0"/>
    <x v="0"/>
    <s v="Afonso Santos"/>
    <s v="Afonso Santos"/>
    <s v="Lisbon"/>
    <s v="Portugal"/>
    <n v="25.72500000000003"/>
    <n v="261.97500000000002"/>
  </r>
  <r>
    <n v="21260"/>
    <x v="33"/>
    <x v="3"/>
    <n v="32.475000000000001"/>
    <n v="57"/>
    <n v="56.96689761354888"/>
    <n v="21.6"/>
    <x v="0"/>
    <x v="2"/>
    <s v="Afonso Santos"/>
    <s v="Afonso Santos"/>
    <s v="Lisbon"/>
    <s v="Portugal"/>
    <n v="619.875"/>
    <n v="1851.075"/>
  </r>
  <r>
    <n v="21262"/>
    <x v="33"/>
    <x v="4"/>
    <n v="24.875"/>
    <n v="21"/>
    <n v="20.100502512562819"/>
    <n v="14.25"/>
    <x v="0"/>
    <x v="0"/>
    <s v="Afonso Santos"/>
    <s v="Afonso Santos"/>
    <s v="Lisbon"/>
    <s v="Portugal"/>
    <n v="223.125"/>
    <n v="522.375"/>
  </r>
  <r>
    <n v="21264"/>
    <x v="33"/>
    <x v="0"/>
    <n v="8.7250000000000014"/>
    <n v="64"/>
    <n v="63.03724928366762"/>
    <n v="4.4000000000000004"/>
    <x v="0"/>
    <x v="0"/>
    <s v="Afonso Santos"/>
    <s v="Afonso Santos"/>
    <s v="Lisbon"/>
    <s v="Portugal"/>
    <n v="276.80000000000007"/>
    <n v="558.40000000000009"/>
  </r>
  <r>
    <n v="21266"/>
    <x v="33"/>
    <x v="1"/>
    <n v="7.375"/>
    <n v="68"/>
    <n v="67.796610169491515"/>
    <n v="2.3499999999999996"/>
    <x v="0"/>
    <x v="0"/>
    <s v="Afonso Santos"/>
    <s v="Afonso Santos"/>
    <s v="Lisbon"/>
    <s v="Portugal"/>
    <n v="341.70000000000005"/>
    <n v="501.5"/>
  </r>
  <r>
    <n v="21268"/>
    <x v="33"/>
    <x v="2"/>
    <n v="12.475000000000001"/>
    <n v="21"/>
    <n v="20.040080160320638"/>
    <n v="11.25"/>
    <x v="0"/>
    <x v="0"/>
    <s v="Afonso Santos"/>
    <s v="Afonso Santos"/>
    <s v="Lisbon"/>
    <s v="Portugal"/>
    <n v="25.72500000000003"/>
    <n v="261.97500000000002"/>
  </r>
  <r>
    <n v="21270"/>
    <x v="34"/>
    <x v="3"/>
    <n v="32.475000000000001"/>
    <n v="56"/>
    <n v="55.427251732101617"/>
    <n v="21.6"/>
    <x v="0"/>
    <x v="0"/>
    <s v="Afonso Santos"/>
    <s v="Afonso Santos"/>
    <s v="Lisbon"/>
    <s v="Portugal"/>
    <n v="609"/>
    <n v="1818.6000000000001"/>
  </r>
  <r>
    <n v="21272"/>
    <x v="34"/>
    <x v="4"/>
    <n v="24.875"/>
    <n v="23"/>
    <n v="22.110552763819097"/>
    <n v="14.25"/>
    <x v="0"/>
    <x v="0"/>
    <s v="Afonso Santos"/>
    <s v="Afonso Santos"/>
    <s v="Lisbon"/>
    <s v="Portugal"/>
    <n v="244.375"/>
    <n v="572.125"/>
  </r>
  <r>
    <n v="21274"/>
    <x v="34"/>
    <x v="0"/>
    <n v="8.7250000000000014"/>
    <n v="64"/>
    <n v="63.03724928366762"/>
    <n v="4.4000000000000004"/>
    <x v="0"/>
    <x v="0"/>
    <s v="Afonso Santos"/>
    <s v="Afonso Santos"/>
    <s v="Lisbon"/>
    <s v="Portugal"/>
    <n v="276.80000000000007"/>
    <n v="558.40000000000009"/>
  </r>
  <r>
    <n v="21276"/>
    <x v="34"/>
    <x v="1"/>
    <n v="7.375"/>
    <n v="68"/>
    <n v="67.796610169491515"/>
    <n v="2.3499999999999996"/>
    <x v="0"/>
    <x v="0"/>
    <s v="Afonso Santos"/>
    <s v="Afonso Santos"/>
    <s v="Lisbon"/>
    <s v="Portugal"/>
    <n v="341.70000000000005"/>
    <n v="501.5"/>
  </r>
  <r>
    <n v="21278"/>
    <x v="34"/>
    <x v="2"/>
    <n v="12.475000000000001"/>
    <n v="21"/>
    <n v="20.040080160320638"/>
    <n v="11.25"/>
    <x v="0"/>
    <x v="0"/>
    <s v="Afonso Santos"/>
    <s v="Afonso Santos"/>
    <s v="Lisbon"/>
    <s v="Portugal"/>
    <n v="25.72500000000003"/>
    <n v="261.97500000000002"/>
  </r>
  <r>
    <n v="21280"/>
    <x v="35"/>
    <x v="3"/>
    <n v="32.475000000000001"/>
    <n v="54"/>
    <n v="53.887605850654346"/>
    <n v="21.6"/>
    <x v="0"/>
    <x v="0"/>
    <s v="Afonso Santos"/>
    <s v="Afonso Santos"/>
    <s v="Lisbon"/>
    <s v="Portugal"/>
    <n v="587.25"/>
    <n v="1753.65"/>
  </r>
  <r>
    <n v="21282"/>
    <x v="35"/>
    <x v="4"/>
    <n v="24.875"/>
    <n v="23"/>
    <n v="22.110552763819097"/>
    <n v="14.25"/>
    <x v="0"/>
    <x v="0"/>
    <s v="Afonso Santos"/>
    <s v="Afonso Santos"/>
    <s v="Lisbon"/>
    <s v="Portugal"/>
    <n v="244.375"/>
    <n v="572.125"/>
  </r>
  <r>
    <n v="21284"/>
    <x v="35"/>
    <x v="0"/>
    <n v="8.7250000000000014"/>
    <n v="64"/>
    <n v="63.03724928366762"/>
    <n v="4.4000000000000004"/>
    <x v="0"/>
    <x v="2"/>
    <s v="Afonso Santos"/>
    <s v="Afonso Santos"/>
    <s v="Lisbon"/>
    <s v="Portugal"/>
    <n v="276.80000000000007"/>
    <n v="558.40000000000009"/>
  </r>
  <r>
    <n v="21286"/>
    <x v="35"/>
    <x v="1"/>
    <n v="7.375"/>
    <n v="68"/>
    <n v="67.796610169491515"/>
    <n v="2.3499999999999996"/>
    <x v="0"/>
    <x v="2"/>
    <s v="Afonso Santos"/>
    <s v="Afonso Santos"/>
    <s v="Lisbon"/>
    <s v="Portugal"/>
    <n v="341.70000000000005"/>
    <n v="501.5"/>
  </r>
  <r>
    <n v="21288"/>
    <x v="35"/>
    <x v="2"/>
    <n v="12.475000000000001"/>
    <n v="21"/>
    <n v="20.040080160320638"/>
    <n v="11.25"/>
    <x v="0"/>
    <x v="2"/>
    <s v="Afonso Santos"/>
    <s v="Afonso Santos"/>
    <s v="Lisbon"/>
    <s v="Portugal"/>
    <n v="25.72500000000003"/>
    <n v="261.97500000000002"/>
  </r>
  <r>
    <n v="21290"/>
    <x v="36"/>
    <x v="3"/>
    <n v="32.475000000000001"/>
    <n v="57"/>
    <n v="56.96689761354888"/>
    <n v="21.6"/>
    <x v="0"/>
    <x v="2"/>
    <s v="Afonso Santos"/>
    <s v="Afonso Santos"/>
    <s v="Lisbon"/>
    <s v="Portugal"/>
    <n v="619.875"/>
    <n v="1851.075"/>
  </r>
  <r>
    <n v="21292"/>
    <x v="36"/>
    <x v="4"/>
    <n v="24.875"/>
    <n v="23"/>
    <n v="22.110552763819097"/>
    <n v="14.25"/>
    <x v="0"/>
    <x v="2"/>
    <s v="Afonso Santos"/>
    <s v="Afonso Santos"/>
    <s v="Lisbon"/>
    <s v="Portugal"/>
    <n v="244.375"/>
    <n v="572.125"/>
  </r>
  <r>
    <n v="21294"/>
    <x v="36"/>
    <x v="0"/>
    <n v="8.7250000000000014"/>
    <n v="64"/>
    <n v="63.03724928366762"/>
    <n v="4.4000000000000004"/>
    <x v="0"/>
    <x v="0"/>
    <s v="Afonso Santos"/>
    <s v="Afonso Santos"/>
    <s v="Lisbon"/>
    <s v="Portugal"/>
    <n v="276.80000000000007"/>
    <n v="558.40000000000009"/>
  </r>
  <r>
    <n v="21296"/>
    <x v="36"/>
    <x v="1"/>
    <n v="7.375"/>
    <n v="75"/>
    <n v="74.576271186440664"/>
    <n v="2.3499999999999996"/>
    <x v="0"/>
    <x v="0"/>
    <s v="Afonso Santos"/>
    <s v="Afonso Santos"/>
    <s v="Lisbon"/>
    <s v="Portugal"/>
    <n v="376.875"/>
    <n v="553.125"/>
  </r>
  <r>
    <n v="21298"/>
    <x v="36"/>
    <x v="2"/>
    <n v="12.475000000000001"/>
    <n v="21"/>
    <n v="20.040080160320638"/>
    <n v="11.25"/>
    <x v="0"/>
    <x v="0"/>
    <s v="Afonso Santos"/>
    <s v="Afonso Santos"/>
    <s v="Lisbon"/>
    <s v="Portugal"/>
    <n v="25.72500000000003"/>
    <n v="261.97500000000002"/>
  </r>
  <r>
    <n v="21300"/>
    <x v="37"/>
    <x v="3"/>
    <n v="32.475000000000001"/>
    <n v="59"/>
    <n v="58.506543494996151"/>
    <n v="21.6"/>
    <x v="0"/>
    <x v="0"/>
    <s v="Afonso Santos"/>
    <s v="Afonso Santos"/>
    <s v="Lisbon"/>
    <s v="Portugal"/>
    <n v="641.625"/>
    <n v="1916.0250000000001"/>
  </r>
  <r>
    <n v="21302"/>
    <x v="37"/>
    <x v="4"/>
    <n v="24.875"/>
    <n v="23"/>
    <n v="22.110552763819097"/>
    <n v="14.25"/>
    <x v="0"/>
    <x v="0"/>
    <s v="Afonso Santos"/>
    <s v="Afonso Santos"/>
    <s v="Lisbon"/>
    <s v="Portugal"/>
    <n v="244.375"/>
    <n v="572.125"/>
  </r>
  <r>
    <n v="21304"/>
    <x v="37"/>
    <x v="0"/>
    <n v="8.7250000000000014"/>
    <n v="69"/>
    <n v="68.767908309455578"/>
    <n v="4.4000000000000004"/>
    <x v="0"/>
    <x v="0"/>
    <s v="Afonso Santos"/>
    <s v="Afonso Santos"/>
    <s v="Lisbon"/>
    <s v="Portugal"/>
    <n v="298.42500000000007"/>
    <n v="602.02500000000009"/>
  </r>
  <r>
    <n v="21306"/>
    <x v="37"/>
    <x v="1"/>
    <n v="7.375"/>
    <n v="75"/>
    <n v="74.576271186440664"/>
    <n v="2.3499999999999996"/>
    <x v="0"/>
    <x v="0"/>
    <s v="Afonso Santos"/>
    <s v="Afonso Santos"/>
    <s v="Lisbon"/>
    <s v="Portugal"/>
    <n v="376.875"/>
    <n v="553.125"/>
  </r>
  <r>
    <n v="21308"/>
    <x v="37"/>
    <x v="2"/>
    <n v="12.475000000000001"/>
    <n v="21"/>
    <n v="20.040080160320638"/>
    <n v="11.25"/>
    <x v="0"/>
    <x v="0"/>
    <s v="Afonso Santos"/>
    <s v="Afonso Santos"/>
    <s v="Lisbon"/>
    <s v="Portugal"/>
    <n v="25.72500000000003"/>
    <n v="261.97500000000002"/>
  </r>
  <r>
    <n v="21310"/>
    <x v="38"/>
    <x v="3"/>
    <n v="32.475000000000001"/>
    <n v="61"/>
    <n v="60.046189376443422"/>
    <n v="21.6"/>
    <x v="0"/>
    <x v="0"/>
    <s v="Afonso Santos"/>
    <s v="Afonso Santos"/>
    <s v="Lisbon"/>
    <s v="Portugal"/>
    <n v="663.375"/>
    <n v="1980.9750000000001"/>
  </r>
  <r>
    <n v="21312"/>
    <x v="38"/>
    <x v="4"/>
    <n v="24.875"/>
    <n v="23"/>
    <n v="22.110552763819097"/>
    <n v="14.25"/>
    <x v="0"/>
    <x v="0"/>
    <s v="Afonso Santos"/>
    <s v="Afonso Santos"/>
    <s v="Lisbon"/>
    <s v="Portugal"/>
    <n v="244.375"/>
    <n v="572.125"/>
  </r>
  <r>
    <n v="21314"/>
    <x v="38"/>
    <x v="0"/>
    <n v="8.7250000000000014"/>
    <n v="69"/>
    <n v="68.767908309455578"/>
    <n v="4.4000000000000004"/>
    <x v="0"/>
    <x v="0"/>
    <s v="Afonso Santos"/>
    <s v="Afonso Santos"/>
    <s v="Lisbon"/>
    <s v="Portugal"/>
    <n v="298.42500000000007"/>
    <n v="602.02500000000009"/>
  </r>
  <r>
    <n v="21316"/>
    <x v="38"/>
    <x v="1"/>
    <n v="7.375"/>
    <n v="75"/>
    <n v="74.576271186440664"/>
    <n v="2.3499999999999996"/>
    <x v="0"/>
    <x v="2"/>
    <s v="Afonso Santos"/>
    <s v="Afonso Santos"/>
    <s v="Lisbon"/>
    <s v="Portugal"/>
    <n v="376.875"/>
    <n v="553.125"/>
  </r>
  <r>
    <n v="21318"/>
    <x v="38"/>
    <x v="2"/>
    <n v="12.475000000000001"/>
    <n v="21"/>
    <n v="20.040080160320638"/>
    <n v="11.25"/>
    <x v="0"/>
    <x v="2"/>
    <s v="Afonso Santos"/>
    <s v="Afonso Santos"/>
    <s v="Lisbon"/>
    <s v="Portugal"/>
    <n v="25.72500000000003"/>
    <n v="261.97500000000002"/>
  </r>
  <r>
    <n v="21320"/>
    <x v="39"/>
    <x v="3"/>
    <n v="32.475000000000001"/>
    <n v="64"/>
    <n v="63.125481139337957"/>
    <n v="21.6"/>
    <x v="1"/>
    <x v="2"/>
    <s v="Afonso Santos"/>
    <s v="Afonso Santos"/>
    <s v="Lisbon"/>
    <s v="Portugal"/>
    <n v="696"/>
    <n v="2078.4"/>
  </r>
  <r>
    <n v="21322"/>
    <x v="39"/>
    <x v="4"/>
    <n v="24.875"/>
    <n v="23"/>
    <n v="22.110552763819097"/>
    <n v="14.25"/>
    <x v="1"/>
    <x v="2"/>
    <s v="Afonso Santos"/>
    <s v="Afonso Santos"/>
    <s v="Lisbon"/>
    <s v="Portugal"/>
    <n v="244.375"/>
    <n v="572.125"/>
  </r>
  <r>
    <n v="21324"/>
    <x v="39"/>
    <x v="0"/>
    <n v="8.7250000000000014"/>
    <n v="64"/>
    <n v="63.03724928366762"/>
    <n v="4.4000000000000004"/>
    <x v="1"/>
    <x v="2"/>
    <s v="Afonso Santos"/>
    <s v="Afonso Santos"/>
    <s v="Lisbon"/>
    <s v="Portugal"/>
    <n v="276.80000000000007"/>
    <n v="558.40000000000009"/>
  </r>
  <r>
    <n v="21326"/>
    <x v="39"/>
    <x v="1"/>
    <n v="7.375"/>
    <n v="75"/>
    <n v="74.576271186440664"/>
    <n v="2.3499999999999996"/>
    <x v="1"/>
    <x v="2"/>
    <s v="Afonso Santos"/>
    <s v="Afonso Santos"/>
    <s v="Lisbon"/>
    <s v="Portugal"/>
    <n v="376.875"/>
    <n v="553.125"/>
  </r>
  <r>
    <n v="21328"/>
    <x v="39"/>
    <x v="2"/>
    <n v="12.475000000000001"/>
    <n v="21"/>
    <n v="20.040080160320638"/>
    <n v="11.25"/>
    <x v="1"/>
    <x v="2"/>
    <s v="Afonso Santos"/>
    <s v="Afonso Santos"/>
    <s v="Lisbon"/>
    <s v="Portugal"/>
    <n v="25.72500000000003"/>
    <n v="261.97500000000002"/>
  </r>
  <r>
    <n v="21330"/>
    <x v="40"/>
    <x v="3"/>
    <n v="32.475000000000001"/>
    <n v="65"/>
    <n v="64.665127020785221"/>
    <n v="21.6"/>
    <x v="1"/>
    <x v="2"/>
    <s v="Afonso Santos"/>
    <s v="Afonso Santos"/>
    <s v="Lisbon"/>
    <s v="Portugal"/>
    <n v="706.875"/>
    <n v="2110.875"/>
  </r>
  <r>
    <n v="21332"/>
    <x v="40"/>
    <x v="4"/>
    <n v="24.875"/>
    <n v="23"/>
    <n v="22.110552763819097"/>
    <n v="14.25"/>
    <x v="1"/>
    <x v="2"/>
    <s v="Afonso Santos"/>
    <s v="Afonso Santos"/>
    <s v="Lisbon"/>
    <s v="Portugal"/>
    <n v="244.375"/>
    <n v="572.125"/>
  </r>
  <r>
    <n v="21334"/>
    <x v="40"/>
    <x v="0"/>
    <n v="8.7250000000000014"/>
    <n v="64"/>
    <n v="63.03724928366762"/>
    <n v="4.4000000000000004"/>
    <x v="1"/>
    <x v="2"/>
    <s v="Afonso Santos"/>
    <s v="Afonso Santos"/>
    <s v="Lisbon"/>
    <s v="Portugal"/>
    <n v="276.80000000000007"/>
    <n v="558.40000000000009"/>
  </r>
  <r>
    <n v="21336"/>
    <x v="40"/>
    <x v="1"/>
    <n v="7.375"/>
    <n v="75"/>
    <n v="74.576271186440664"/>
    <n v="2.3499999999999996"/>
    <x v="1"/>
    <x v="2"/>
    <s v="Afonso Santos"/>
    <s v="Afonso Santos"/>
    <s v="Lisbon"/>
    <s v="Portugal"/>
    <n v="376.875"/>
    <n v="553.125"/>
  </r>
  <r>
    <n v="21338"/>
    <x v="40"/>
    <x v="2"/>
    <n v="12.475000000000001"/>
    <n v="21"/>
    <n v="20.040080160320638"/>
    <n v="11.25"/>
    <x v="1"/>
    <x v="2"/>
    <s v="Afonso Santos"/>
    <s v="Afonso Santos"/>
    <s v="Lisbon"/>
    <s v="Portugal"/>
    <n v="25.72500000000003"/>
    <n v="261.97500000000002"/>
  </r>
  <r>
    <n v="21340"/>
    <x v="41"/>
    <x v="3"/>
    <n v="32.475000000000001"/>
    <n v="68"/>
    <n v="67.744418783679748"/>
    <n v="21.6"/>
    <x v="1"/>
    <x v="2"/>
    <s v="Afonso Santos"/>
    <s v="Afonso Santos"/>
    <s v="Lisbon"/>
    <s v="Portugal"/>
    <n v="739.5"/>
    <n v="2208.3000000000002"/>
  </r>
  <r>
    <n v="21342"/>
    <x v="41"/>
    <x v="4"/>
    <n v="24.875"/>
    <n v="23"/>
    <n v="22.110552763819097"/>
    <n v="14.25"/>
    <x v="1"/>
    <x v="2"/>
    <s v="Afonso Santos"/>
    <s v="Afonso Santos"/>
    <s v="Lisbon"/>
    <s v="Portugal"/>
    <n v="244.375"/>
    <n v="572.125"/>
  </r>
  <r>
    <n v="21344"/>
    <x v="41"/>
    <x v="0"/>
    <n v="8.7250000000000014"/>
    <n v="64"/>
    <n v="63.03724928366762"/>
    <n v="4.4000000000000004"/>
    <x v="1"/>
    <x v="2"/>
    <s v="Afonso Santos"/>
    <s v="Afonso Santos"/>
    <s v="Lisbon"/>
    <s v="Portugal"/>
    <n v="276.80000000000007"/>
    <n v="558.40000000000009"/>
  </r>
  <r>
    <n v="21346"/>
    <x v="41"/>
    <x v="1"/>
    <n v="7.375"/>
    <n v="75"/>
    <n v="74.576271186440664"/>
    <n v="2.3499999999999996"/>
    <x v="1"/>
    <x v="2"/>
    <s v="Afonso Santos"/>
    <s v="Afonso Santos"/>
    <s v="Lisbon"/>
    <s v="Portugal"/>
    <n v="376.875"/>
    <n v="553.125"/>
  </r>
  <r>
    <n v="21348"/>
    <x v="41"/>
    <x v="2"/>
    <n v="12.475000000000001"/>
    <n v="21"/>
    <n v="20.040080160320638"/>
    <n v="11.25"/>
    <x v="1"/>
    <x v="2"/>
    <s v="Afonso Santos"/>
    <s v="Afonso Santos"/>
    <s v="Lisbon"/>
    <s v="Portugal"/>
    <n v="25.72500000000003"/>
    <n v="261.97500000000002"/>
  </r>
  <r>
    <n v="21350"/>
    <x v="42"/>
    <x v="3"/>
    <n v="32.475000000000001"/>
    <n v="68"/>
    <n v="67.744418783679748"/>
    <n v="21.6"/>
    <x v="1"/>
    <x v="2"/>
    <s v="Afonso Santos"/>
    <s v="Afonso Santos"/>
    <s v="Lisbon"/>
    <s v="Portugal"/>
    <n v="739.5"/>
    <n v="2208.3000000000002"/>
  </r>
  <r>
    <n v="21352"/>
    <x v="42"/>
    <x v="4"/>
    <n v="24.875"/>
    <n v="25"/>
    <n v="24.120603015075382"/>
    <n v="14.25"/>
    <x v="1"/>
    <x v="2"/>
    <s v="Afonso Santos"/>
    <s v="Afonso Santos"/>
    <s v="Lisbon"/>
    <s v="Portugal"/>
    <n v="265.625"/>
    <n v="621.875"/>
  </r>
  <r>
    <n v="21354"/>
    <x v="42"/>
    <x v="0"/>
    <n v="8.7250000000000014"/>
    <n v="64"/>
    <n v="63.03724928366762"/>
    <n v="4.4000000000000004"/>
    <x v="1"/>
    <x v="2"/>
    <s v="Afonso Santos"/>
    <s v="Afonso Santos"/>
    <s v="Lisbon"/>
    <s v="Portugal"/>
    <n v="276.80000000000007"/>
    <n v="558.40000000000009"/>
  </r>
  <r>
    <n v="21356"/>
    <x v="42"/>
    <x v="1"/>
    <n v="7.375"/>
    <n v="75"/>
    <n v="74.576271186440664"/>
    <n v="2.3499999999999996"/>
    <x v="1"/>
    <x v="2"/>
    <s v="Afonso Santos"/>
    <s v="Afonso Santos"/>
    <s v="Lisbon"/>
    <s v="Portugal"/>
    <n v="376.875"/>
    <n v="553.125"/>
  </r>
  <r>
    <n v="21358"/>
    <x v="42"/>
    <x v="2"/>
    <n v="12.475000000000001"/>
    <n v="21"/>
    <n v="20.040080160320638"/>
    <n v="11.25"/>
    <x v="1"/>
    <x v="2"/>
    <s v="Afonso Santos"/>
    <s v="Afonso Santos"/>
    <s v="Lisbon"/>
    <s v="Portugal"/>
    <n v="25.72500000000003"/>
    <n v="261.97500000000002"/>
  </r>
  <r>
    <n v="21360"/>
    <x v="43"/>
    <x v="3"/>
    <n v="32.475000000000001"/>
    <n v="65"/>
    <n v="64.665127020785221"/>
    <n v="21.6"/>
    <x v="1"/>
    <x v="2"/>
    <s v="Afonso Santos"/>
    <s v="Afonso Santos"/>
    <s v="Lisbon"/>
    <s v="Portugal"/>
    <n v="706.875"/>
    <n v="2110.875"/>
  </r>
  <r>
    <n v="21362"/>
    <x v="43"/>
    <x v="4"/>
    <n v="24.875"/>
    <n v="25"/>
    <n v="24.120603015075382"/>
    <n v="14.25"/>
    <x v="1"/>
    <x v="2"/>
    <s v="Afonso Santos"/>
    <s v="Afonso Santos"/>
    <s v="Lisbon"/>
    <s v="Portugal"/>
    <n v="265.625"/>
    <n v="621.875"/>
  </r>
  <r>
    <n v="21364"/>
    <x v="43"/>
    <x v="0"/>
    <n v="8.7250000000000014"/>
    <n v="64"/>
    <n v="63.03724928366762"/>
    <n v="4.4000000000000004"/>
    <x v="1"/>
    <x v="2"/>
    <s v="Afonso Santos"/>
    <s v="Afonso Santos"/>
    <s v="Lisbon"/>
    <s v="Portugal"/>
    <n v="276.80000000000007"/>
    <n v="558.40000000000009"/>
  </r>
  <r>
    <n v="21366"/>
    <x v="43"/>
    <x v="1"/>
    <n v="7.375"/>
    <n v="68"/>
    <n v="67.796610169491515"/>
    <n v="2.3499999999999996"/>
    <x v="1"/>
    <x v="2"/>
    <s v="Afonso Santos"/>
    <s v="Afonso Santos"/>
    <s v="Lisbon"/>
    <s v="Portugal"/>
    <n v="341.70000000000005"/>
    <n v="501.5"/>
  </r>
  <r>
    <n v="21368"/>
    <x v="43"/>
    <x v="2"/>
    <n v="12.475000000000001"/>
    <n v="21"/>
    <n v="20.040080160320638"/>
    <n v="11.25"/>
    <x v="1"/>
    <x v="2"/>
    <s v="Afonso Santos"/>
    <s v="Afonso Santos"/>
    <s v="Lisbon"/>
    <s v="Portugal"/>
    <n v="25.72500000000003"/>
    <n v="261.97500000000002"/>
  </r>
  <r>
    <n v="21370"/>
    <x v="44"/>
    <x v="3"/>
    <n v="32.475000000000001"/>
    <n v="68"/>
    <n v="67.744418783679748"/>
    <n v="21.6"/>
    <x v="1"/>
    <x v="2"/>
    <s v="Afonso Santos"/>
    <s v="Afonso Santos"/>
    <s v="Lisbon"/>
    <s v="Portugal"/>
    <n v="739.5"/>
    <n v="2208.3000000000002"/>
  </r>
  <r>
    <n v="21372"/>
    <x v="44"/>
    <x v="4"/>
    <n v="24.875"/>
    <n v="25"/>
    <n v="24.120603015075382"/>
    <n v="14.25"/>
    <x v="1"/>
    <x v="2"/>
    <s v="Afonso Santos"/>
    <s v="Afonso Santos"/>
    <s v="Lisbon"/>
    <s v="Portugal"/>
    <n v="265.625"/>
    <n v="621.875"/>
  </r>
  <r>
    <n v="21374"/>
    <x v="44"/>
    <x v="0"/>
    <n v="8.7250000000000014"/>
    <n v="64"/>
    <n v="63.03724928366762"/>
    <n v="4.4000000000000004"/>
    <x v="1"/>
    <x v="2"/>
    <s v="Hans Wagner"/>
    <s v="Hans Wagner"/>
    <s v="Berlin"/>
    <s v="Germany"/>
    <n v="276.80000000000007"/>
    <n v="558.40000000000009"/>
  </r>
  <r>
    <n v="21376"/>
    <x v="44"/>
    <x v="1"/>
    <n v="7.375"/>
    <n v="68"/>
    <n v="67.796610169491515"/>
    <n v="2.3499999999999996"/>
    <x v="1"/>
    <x v="2"/>
    <s v="Hans Wagner"/>
    <s v="Hans Wagner"/>
    <s v="Berlin"/>
    <s v="Germany"/>
    <n v="341.70000000000005"/>
    <n v="501.5"/>
  </r>
  <r>
    <n v="21378"/>
    <x v="44"/>
    <x v="2"/>
    <n v="12.475000000000001"/>
    <n v="21"/>
    <n v="20.040080160320638"/>
    <n v="11.25"/>
    <x v="1"/>
    <x v="2"/>
    <s v="Hans Wagner"/>
    <s v="Hans Wagner"/>
    <s v="Berlin"/>
    <s v="Germany"/>
    <n v="25.72500000000003"/>
    <n v="261.97500000000002"/>
  </r>
  <r>
    <n v="21380"/>
    <x v="45"/>
    <x v="3"/>
    <n v="32.475000000000001"/>
    <n v="68"/>
    <n v="67.744418783679748"/>
    <n v="21.6"/>
    <x v="1"/>
    <x v="2"/>
    <s v="Hans Wagner"/>
    <s v="Hans Wagner"/>
    <s v="Berlin"/>
    <s v="Germany"/>
    <n v="739.5"/>
    <n v="2208.3000000000002"/>
  </r>
  <r>
    <n v="21382"/>
    <x v="45"/>
    <x v="4"/>
    <n v="24.875"/>
    <n v="27"/>
    <n v="26.13065326633166"/>
    <n v="14.25"/>
    <x v="1"/>
    <x v="2"/>
    <s v="Hans Wagner"/>
    <s v="Hans Wagner"/>
    <s v="Berlin"/>
    <s v="Germany"/>
    <n v="286.875"/>
    <n v="671.625"/>
  </r>
  <r>
    <n v="21384"/>
    <x v="45"/>
    <x v="0"/>
    <n v="8.7250000000000014"/>
    <n v="64"/>
    <n v="63.03724928366762"/>
    <n v="4.4000000000000004"/>
    <x v="1"/>
    <x v="2"/>
    <s v="Hans Wagner"/>
    <s v="Hans Wagner"/>
    <s v="Berlin"/>
    <s v="Germany"/>
    <n v="276.80000000000007"/>
    <n v="558.40000000000009"/>
  </r>
  <r>
    <n v="21386"/>
    <x v="45"/>
    <x v="1"/>
    <n v="7.375"/>
    <n v="68"/>
    <n v="67.796610169491515"/>
    <n v="2.3499999999999996"/>
    <x v="1"/>
    <x v="2"/>
    <s v="Hans Wagner"/>
    <s v="Hans Wagner"/>
    <s v="Berlin"/>
    <s v="Germany"/>
    <n v="341.70000000000005"/>
    <n v="501.5"/>
  </r>
  <r>
    <n v="21388"/>
    <x v="45"/>
    <x v="2"/>
    <n v="12.475000000000001"/>
    <n v="21"/>
    <n v="20.040080160320638"/>
    <n v="11.25"/>
    <x v="1"/>
    <x v="2"/>
    <s v="Hans Wagner"/>
    <s v="Hans Wagner"/>
    <s v="Berlin"/>
    <s v="Germany"/>
    <n v="25.72500000000003"/>
    <n v="261.97500000000002"/>
  </r>
  <r>
    <n v="21390"/>
    <x v="46"/>
    <x v="3"/>
    <n v="32.475000000000001"/>
    <n v="70"/>
    <n v="69.284064665127019"/>
    <n v="21.6"/>
    <x v="1"/>
    <x v="2"/>
    <s v="Hans Wagner"/>
    <s v="Hans Wagner"/>
    <s v="Berlin"/>
    <s v="Germany"/>
    <n v="761.25"/>
    <n v="2273.25"/>
  </r>
  <r>
    <n v="21392"/>
    <x v="46"/>
    <x v="4"/>
    <n v="24.875"/>
    <n v="29"/>
    <n v="28.140703517587941"/>
    <n v="14.25"/>
    <x v="1"/>
    <x v="2"/>
    <s v="Hans Wagner"/>
    <s v="Hans Wagner"/>
    <s v="Berlin"/>
    <s v="Germany"/>
    <n v="308.125"/>
    <n v="721.375"/>
  </r>
  <r>
    <n v="21394"/>
    <x v="46"/>
    <x v="0"/>
    <n v="8.7250000000000014"/>
    <n v="64"/>
    <n v="63.03724928366762"/>
    <n v="4.4000000000000004"/>
    <x v="1"/>
    <x v="2"/>
    <s v="Hans Wagner"/>
    <s v="Hans Wagner"/>
    <s v="Berlin"/>
    <s v="Germany"/>
    <n v="276.80000000000007"/>
    <n v="558.40000000000009"/>
  </r>
  <r>
    <n v="21396"/>
    <x v="46"/>
    <x v="1"/>
    <n v="7.375"/>
    <n v="68"/>
    <n v="67.796610169491515"/>
    <n v="2.3499999999999996"/>
    <x v="1"/>
    <x v="2"/>
    <s v="Hans Wagner"/>
    <s v="Hans Wagner"/>
    <s v="Berlin"/>
    <s v="Germany"/>
    <n v="341.70000000000005"/>
    <n v="501.5"/>
  </r>
  <r>
    <n v="21398"/>
    <x v="46"/>
    <x v="2"/>
    <n v="12.475000000000001"/>
    <n v="21"/>
    <n v="20.040080160320638"/>
    <n v="11.25"/>
    <x v="1"/>
    <x v="2"/>
    <s v="Hans Wagner"/>
    <s v="Hans Wagner"/>
    <s v="Berlin"/>
    <s v="Germany"/>
    <n v="25.72500000000003"/>
    <n v="261.97500000000002"/>
  </r>
  <r>
    <n v="21400"/>
    <x v="47"/>
    <x v="3"/>
    <n v="32.475000000000001"/>
    <n v="70"/>
    <n v="69.284064665127019"/>
    <n v="21.6"/>
    <x v="1"/>
    <x v="2"/>
    <s v="Hans Wagner"/>
    <s v="Hans Wagner"/>
    <s v="Berlin"/>
    <s v="Germany"/>
    <n v="761.25"/>
    <n v="2273.25"/>
  </r>
  <r>
    <n v="21402"/>
    <x v="47"/>
    <x v="4"/>
    <n v="24.875"/>
    <n v="29"/>
    <n v="28.140703517587941"/>
    <n v="14.25"/>
    <x v="1"/>
    <x v="2"/>
    <s v="Hans Wagner"/>
    <s v="Hans Wagner"/>
    <s v="Berlin"/>
    <s v="Germany"/>
    <n v="308.125"/>
    <n v="721.375"/>
  </r>
  <r>
    <n v="21404"/>
    <x v="47"/>
    <x v="0"/>
    <n v="8.7250000000000014"/>
    <n v="64"/>
    <n v="63.03724928366762"/>
    <n v="4.4000000000000004"/>
    <x v="1"/>
    <x v="2"/>
    <s v="Hans Wagner"/>
    <s v="Hans Wagner"/>
    <s v="Berlin"/>
    <s v="Germany"/>
    <n v="276.80000000000007"/>
    <n v="558.40000000000009"/>
  </r>
  <r>
    <n v="21406"/>
    <x v="47"/>
    <x v="1"/>
    <n v="7.375"/>
    <n v="68"/>
    <n v="67.796610169491515"/>
    <n v="2.3499999999999996"/>
    <x v="1"/>
    <x v="0"/>
    <s v="Hans Wagner"/>
    <s v="Hans Wagner"/>
    <s v="Berlin"/>
    <s v="Germany"/>
    <n v="341.70000000000005"/>
    <n v="501.5"/>
  </r>
  <r>
    <n v="21408"/>
    <x v="47"/>
    <x v="2"/>
    <n v="12.475000000000001"/>
    <n v="21"/>
    <n v="20.040080160320638"/>
    <n v="11.25"/>
    <x v="2"/>
    <x v="0"/>
    <s v="Hans Wagner"/>
    <s v="Hans Wagner"/>
    <s v="Berlin"/>
    <s v="Germany"/>
    <n v="25.72500000000003"/>
    <n v="261.97500000000002"/>
  </r>
  <r>
    <n v="21410"/>
    <x v="48"/>
    <x v="3"/>
    <n v="32.475000000000001"/>
    <n v="73"/>
    <n v="72.363356428021547"/>
    <n v="21.6"/>
    <x v="2"/>
    <x v="0"/>
    <s v="Hans Wagner"/>
    <s v="Hans Wagner"/>
    <s v="Berlin"/>
    <s v="Germany"/>
    <n v="793.875"/>
    <n v="2370.6750000000002"/>
  </r>
  <r>
    <n v="21412"/>
    <x v="48"/>
    <x v="4"/>
    <n v="24.875"/>
    <n v="31"/>
    <n v="30.150753768844226"/>
    <n v="14.25"/>
    <x v="2"/>
    <x v="0"/>
    <s v="Hans Wagner"/>
    <s v="Hans Wagner"/>
    <s v="Berlin"/>
    <s v="Germany"/>
    <n v="329.375"/>
    <n v="771.125"/>
  </r>
  <r>
    <n v="21414"/>
    <x v="48"/>
    <x v="0"/>
    <n v="8.7250000000000014"/>
    <n v="64"/>
    <n v="63.03724928366762"/>
    <n v="4.4000000000000004"/>
    <x v="2"/>
    <x v="0"/>
    <s v="Hans Wagner"/>
    <s v="Hans Wagner"/>
    <s v="Berlin"/>
    <s v="Germany"/>
    <n v="276.80000000000007"/>
    <n v="558.40000000000009"/>
  </r>
  <r>
    <n v="21416"/>
    <x v="48"/>
    <x v="1"/>
    <n v="7.375"/>
    <n v="68"/>
    <n v="67.796610169491515"/>
    <n v="2.3499999999999996"/>
    <x v="2"/>
    <x v="0"/>
    <s v="Hans Wagner"/>
    <s v="Hans Wagner"/>
    <s v="Berlin"/>
    <s v="Germany"/>
    <n v="341.70000000000005"/>
    <n v="501.5"/>
  </r>
  <r>
    <n v="21418"/>
    <x v="48"/>
    <x v="2"/>
    <n v="12.475000000000001"/>
    <n v="21"/>
    <n v="20.040080160320638"/>
    <n v="11.25"/>
    <x v="2"/>
    <x v="0"/>
    <s v="Hans Wagner"/>
    <s v="Hans Wagner"/>
    <s v="Berlin"/>
    <s v="Germany"/>
    <n v="25.72500000000003"/>
    <n v="261.97500000000002"/>
  </r>
  <r>
    <n v="21420"/>
    <x v="49"/>
    <x v="3"/>
    <n v="32.475000000000001"/>
    <n v="76"/>
    <n v="75.442648190916088"/>
    <n v="21.6"/>
    <x v="2"/>
    <x v="0"/>
    <s v="Hans Wagner"/>
    <s v="Hans Wagner"/>
    <s v="Berlin"/>
    <s v="Germany"/>
    <n v="826.5"/>
    <n v="2468.1"/>
  </r>
  <r>
    <n v="21422"/>
    <x v="49"/>
    <x v="4"/>
    <n v="24.875"/>
    <n v="29"/>
    <n v="28.140703517587941"/>
    <n v="14.25"/>
    <x v="2"/>
    <x v="0"/>
    <s v="Hans Wagner"/>
    <s v="Hans Wagner"/>
    <s v="Berlin"/>
    <s v="Germany"/>
    <n v="308.125"/>
    <n v="721.375"/>
  </r>
  <r>
    <n v="21424"/>
    <x v="49"/>
    <x v="0"/>
    <n v="8.7250000000000014"/>
    <n v="64"/>
    <n v="63.03724928366762"/>
    <n v="4.4000000000000004"/>
    <x v="2"/>
    <x v="0"/>
    <s v="Hans Wagner"/>
    <s v="Hans Wagner"/>
    <s v="Berlin"/>
    <s v="Germany"/>
    <n v="276.80000000000007"/>
    <n v="558.40000000000009"/>
  </r>
  <r>
    <n v="21426"/>
    <x v="49"/>
    <x v="1"/>
    <n v="7.375"/>
    <n v="68"/>
    <n v="67.796610169491515"/>
    <n v="2.3499999999999996"/>
    <x v="2"/>
    <x v="0"/>
    <s v="Hans Wagner"/>
    <s v="Hans Wagner"/>
    <s v="Berlin"/>
    <s v="Germany"/>
    <n v="341.70000000000005"/>
    <n v="50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8F7B2-7CAE-42C7-9A78-57C03CE73C9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6:K11" firstHeaderRow="1" firstDataRow="2" firstDataCol="1"/>
  <pivotFields count="16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numFmtId="2" showAll="0"/>
    <pivotField numFmtId="2" showAll="0"/>
    <pivotField numFmtId="2" showAll="0"/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Revenue" fld="14" showDataAs="percentOfTotal" baseField="0" baseItem="0" numFmtId="10"/>
  </dataFields>
  <chartFormats count="11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2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4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4" format="1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4" format="1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65FC0-0064-4FEF-AFFF-8522AF6F0ED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D4:E10" firstHeaderRow="1" firstDataRow="1" firstDataCol="1"/>
  <pivotFields count="16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 sortType="descending">
      <items count="6"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2"/>
    </i>
    <i>
      <x v="3"/>
    </i>
    <i>
      <x v="4"/>
    </i>
    <i>
      <x/>
    </i>
    <i>
      <x v="1"/>
    </i>
    <i t="grand">
      <x/>
    </i>
  </rowItems>
  <colItems count="1">
    <i/>
  </colItems>
  <dataFields count="1">
    <dataField name="Sum of Profitabil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122B1-F621-496A-B17D-625521161CB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6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Revenue" fld="14" baseField="0" baseItem="0"/>
    <dataField name="Total Profitability" fld="13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4B691-F4A3-4394-8F2A-7ED4F8D4667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18" firstHeaderRow="1" firstDataRow="1" firstDataCol="1"/>
  <pivotFields count="16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3">
    <i>
      <x v="11"/>
    </i>
    <i>
      <x v="12"/>
    </i>
    <i t="grand">
      <x/>
    </i>
  </rowItems>
  <colItems count="1">
    <i/>
  </colItems>
  <dataFields count="1">
    <dataField name="Sum of Reven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9DFFE0-560B-4382-A892-BD7A65E55FB3}" name="Table5" displayName="Table5" ref="D11:F24" headerRowCount="0" totalsRowShown="0" headerRowDxfId="9" dataDxfId="7" headerRowBorderDxfId="8" tableBorderDxfId="6">
  <tableColumns count="3">
    <tableColumn id="1" xr3:uid="{616E1597-A4CF-44D8-8062-D1C7D8EAAA4E}" name="Price" headerRowDxfId="5" dataDxfId="4"/>
    <tableColumn id="2" xr3:uid="{13C0FEAE-45BE-4069-B2D7-6784C30FE902}" name="Column1" headerRowDxfId="3" dataDxfId="2"/>
    <tableColumn id="3" xr3:uid="{37448A90-1652-4487-AEEC-B5D5397E61D4}" name="Quantity" headerRowDxfId="1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282E-7191-4B9C-84D9-ADE65F77BC3C}">
  <dimension ref="A1:O244"/>
  <sheetViews>
    <sheetView tabSelected="1" zoomScale="90" zoomScaleNormal="90" workbookViewId="0">
      <selection activeCell="J25" sqref="J25"/>
    </sheetView>
  </sheetViews>
  <sheetFormatPr defaultRowHeight="14.4" x14ac:dyDescent="0.3"/>
  <cols>
    <col min="1" max="1" width="10.44140625" customWidth="1"/>
    <col min="2" max="2" width="11.88671875" customWidth="1"/>
    <col min="3" max="3" width="17.6640625" customWidth="1"/>
    <col min="5" max="5" width="21.21875" customWidth="1"/>
    <col min="6" max="6" width="11.33203125" customWidth="1"/>
    <col min="8" max="8" width="16.77734375" customWidth="1"/>
    <col min="9" max="9" width="19.109375" customWidth="1"/>
    <col min="10" max="10" width="19.33203125" customWidth="1"/>
    <col min="11" max="11" width="14.21875" customWidth="1"/>
    <col min="14" max="14" width="21.77734375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38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37</v>
      </c>
      <c r="K1" s="1" t="s">
        <v>8</v>
      </c>
      <c r="L1" s="1" t="s">
        <v>9</v>
      </c>
      <c r="M1" s="1" t="s">
        <v>39</v>
      </c>
      <c r="N1" s="10" t="s">
        <v>53</v>
      </c>
      <c r="O1" s="1" t="s">
        <v>60</v>
      </c>
    </row>
    <row r="2" spans="1:15" x14ac:dyDescent="0.3">
      <c r="A2" s="3">
        <v>20904</v>
      </c>
      <c r="B2" s="4">
        <v>45237</v>
      </c>
      <c r="C2" t="s">
        <v>33</v>
      </c>
      <c r="D2" s="5">
        <v>8.7250000000000014</v>
      </c>
      <c r="E2" s="5">
        <v>58</v>
      </c>
      <c r="F2" s="5">
        <v>57.306590257879598</v>
      </c>
      <c r="G2">
        <v>4.4000000000000004</v>
      </c>
      <c r="H2" s="3" t="s">
        <v>10</v>
      </c>
      <c r="I2" s="3" t="s">
        <v>11</v>
      </c>
      <c r="J2" s="3" t="s">
        <v>30</v>
      </c>
      <c r="K2" t="s">
        <v>29</v>
      </c>
      <c r="L2" t="s">
        <v>12</v>
      </c>
      <c r="M2" t="str">
        <f t="shared" ref="M2:M65" si="0">IF(L2="London","UK",
IF(L2="Madrid","Spain",
IF(L2="Paris","France",
IF(L2="Berlin","Germany",
IF(L2="Lisbon","Portugal","")))))</f>
        <v>UK</v>
      </c>
      <c r="N2">
        <f>(D2-G2)*E2</f>
        <v>250.85000000000005</v>
      </c>
      <c r="O2">
        <f>D2*E2</f>
        <v>506.05000000000007</v>
      </c>
    </row>
    <row r="3" spans="1:15" x14ac:dyDescent="0.3">
      <c r="A3" s="3">
        <v>20906</v>
      </c>
      <c r="B3" s="4">
        <v>45237</v>
      </c>
      <c r="C3" t="s">
        <v>34</v>
      </c>
      <c r="D3" s="5">
        <v>7.375</v>
      </c>
      <c r="E3" s="5">
        <v>75</v>
      </c>
      <c r="F3" s="5">
        <v>74.576271186440664</v>
      </c>
      <c r="G3">
        <v>2.3499999999999996</v>
      </c>
      <c r="H3" s="3" t="s">
        <v>10</v>
      </c>
      <c r="I3" s="3" t="s">
        <v>11</v>
      </c>
      <c r="J3" s="3" t="s">
        <v>21</v>
      </c>
      <c r="K3" t="s">
        <v>22</v>
      </c>
      <c r="L3" t="s">
        <v>13</v>
      </c>
      <c r="M3" t="str">
        <f t="shared" si="0"/>
        <v>Spain</v>
      </c>
      <c r="N3">
        <f t="shared" ref="N3:N66" si="1">(D3-G3)*E3</f>
        <v>376.875</v>
      </c>
      <c r="O3">
        <f t="shared" ref="O3:O66" si="2">D3*E3</f>
        <v>553.125</v>
      </c>
    </row>
    <row r="4" spans="1:15" x14ac:dyDescent="0.3">
      <c r="A4" s="3">
        <v>20908</v>
      </c>
      <c r="B4" s="4">
        <v>45237</v>
      </c>
      <c r="C4" t="s">
        <v>32</v>
      </c>
      <c r="D4" s="5">
        <v>12.475000000000001</v>
      </c>
      <c r="E4" s="5">
        <v>21</v>
      </c>
      <c r="F4" s="5">
        <v>20.040080160320638</v>
      </c>
      <c r="G4">
        <v>11.25</v>
      </c>
      <c r="H4" s="3" t="s">
        <v>14</v>
      </c>
      <c r="I4" s="3" t="s">
        <v>11</v>
      </c>
      <c r="J4" s="3" t="s">
        <v>24</v>
      </c>
      <c r="K4" t="s">
        <v>23</v>
      </c>
      <c r="L4" t="s">
        <v>15</v>
      </c>
      <c r="M4" t="str">
        <f t="shared" si="0"/>
        <v>Portugal</v>
      </c>
      <c r="N4">
        <f t="shared" si="1"/>
        <v>25.72500000000003</v>
      </c>
      <c r="O4">
        <f t="shared" si="2"/>
        <v>261.97500000000002</v>
      </c>
    </row>
    <row r="5" spans="1:15" x14ac:dyDescent="0.3">
      <c r="A5" s="3">
        <v>20910</v>
      </c>
      <c r="B5" s="4">
        <v>45238</v>
      </c>
      <c r="C5" t="s">
        <v>36</v>
      </c>
      <c r="D5" s="5">
        <v>32.475000000000001</v>
      </c>
      <c r="E5" s="5">
        <v>57</v>
      </c>
      <c r="F5" s="5">
        <v>56.96689761354888</v>
      </c>
      <c r="G5">
        <v>21.6</v>
      </c>
      <c r="H5" s="3" t="s">
        <v>14</v>
      </c>
      <c r="I5" s="3" t="s">
        <v>16</v>
      </c>
      <c r="J5" s="3" t="s">
        <v>31</v>
      </c>
      <c r="K5" t="s">
        <v>31</v>
      </c>
      <c r="L5" t="s">
        <v>17</v>
      </c>
      <c r="M5" t="str">
        <f t="shared" si="0"/>
        <v>Germany</v>
      </c>
      <c r="N5">
        <f t="shared" si="1"/>
        <v>619.875</v>
      </c>
      <c r="O5">
        <f t="shared" si="2"/>
        <v>1851.075</v>
      </c>
    </row>
    <row r="6" spans="1:15" x14ac:dyDescent="0.3">
      <c r="A6" s="3">
        <v>20912</v>
      </c>
      <c r="B6" s="4">
        <v>45238</v>
      </c>
      <c r="C6" t="s">
        <v>35</v>
      </c>
      <c r="D6" s="5">
        <v>24.875</v>
      </c>
      <c r="E6" s="5">
        <v>21</v>
      </c>
      <c r="F6" s="5">
        <v>20.100502512562819</v>
      </c>
      <c r="G6">
        <v>14.25</v>
      </c>
      <c r="H6" s="3" t="s">
        <v>14</v>
      </c>
      <c r="I6" s="3" t="s">
        <v>16</v>
      </c>
      <c r="J6" s="3" t="s">
        <v>31</v>
      </c>
      <c r="K6" t="s">
        <v>31</v>
      </c>
      <c r="L6" t="s">
        <v>17</v>
      </c>
      <c r="M6" t="str">
        <f t="shared" si="0"/>
        <v>Germany</v>
      </c>
      <c r="N6">
        <f t="shared" si="1"/>
        <v>223.125</v>
      </c>
      <c r="O6">
        <f t="shared" si="2"/>
        <v>522.375</v>
      </c>
    </row>
    <row r="7" spans="1:15" x14ac:dyDescent="0.3">
      <c r="A7" s="3">
        <v>20914</v>
      </c>
      <c r="B7" s="4">
        <v>45238</v>
      </c>
      <c r="C7" t="s">
        <v>33</v>
      </c>
      <c r="D7" s="5">
        <v>8.7250000000000014</v>
      </c>
      <c r="E7" s="5">
        <v>58</v>
      </c>
      <c r="F7" s="5">
        <v>57.306590257879648</v>
      </c>
      <c r="G7">
        <v>4.4000000000000004</v>
      </c>
      <c r="H7" s="3" t="s">
        <v>14</v>
      </c>
      <c r="I7" s="3" t="s">
        <v>16</v>
      </c>
      <c r="J7" s="3" t="s">
        <v>28</v>
      </c>
      <c r="K7" t="s">
        <v>27</v>
      </c>
      <c r="L7" t="s">
        <v>18</v>
      </c>
      <c r="M7" t="str">
        <f t="shared" si="0"/>
        <v>France</v>
      </c>
      <c r="N7">
        <f t="shared" si="1"/>
        <v>250.85000000000005</v>
      </c>
      <c r="O7">
        <f t="shared" si="2"/>
        <v>506.05000000000007</v>
      </c>
    </row>
    <row r="8" spans="1:15" x14ac:dyDescent="0.3">
      <c r="A8" s="3">
        <v>20918</v>
      </c>
      <c r="B8" s="4">
        <v>45238</v>
      </c>
      <c r="C8" t="s">
        <v>32</v>
      </c>
      <c r="D8" s="5">
        <v>12.475000000000001</v>
      </c>
      <c r="E8" s="5">
        <v>21</v>
      </c>
      <c r="F8" s="5">
        <v>20.040080160320638</v>
      </c>
      <c r="G8">
        <v>11.25</v>
      </c>
      <c r="H8" s="3" t="s">
        <v>14</v>
      </c>
      <c r="I8" s="3" t="s">
        <v>16</v>
      </c>
      <c r="J8" s="3" t="s">
        <v>31</v>
      </c>
      <c r="K8" t="s">
        <v>31</v>
      </c>
      <c r="L8" t="s">
        <v>17</v>
      </c>
      <c r="M8" t="str">
        <f t="shared" si="0"/>
        <v>Germany</v>
      </c>
      <c r="N8">
        <f t="shared" si="1"/>
        <v>25.72500000000003</v>
      </c>
      <c r="O8">
        <f t="shared" si="2"/>
        <v>261.97500000000002</v>
      </c>
    </row>
    <row r="9" spans="1:15" x14ac:dyDescent="0.3">
      <c r="A9" s="3">
        <v>20950</v>
      </c>
      <c r="B9" s="4">
        <v>45242</v>
      </c>
      <c r="C9" t="s">
        <v>36</v>
      </c>
      <c r="D9" s="5">
        <v>32.475000000000001</v>
      </c>
      <c r="E9" s="5">
        <v>53</v>
      </c>
      <c r="F9" s="5">
        <v>52.347959969207082</v>
      </c>
      <c r="G9">
        <v>21.6</v>
      </c>
      <c r="H9" s="3" t="s">
        <v>14</v>
      </c>
      <c r="I9" s="3" t="s">
        <v>16</v>
      </c>
      <c r="J9" s="3" t="s">
        <v>21</v>
      </c>
      <c r="K9" t="s">
        <v>22</v>
      </c>
      <c r="L9" t="s">
        <v>13</v>
      </c>
      <c r="M9" t="str">
        <f t="shared" si="0"/>
        <v>Spain</v>
      </c>
      <c r="N9">
        <f t="shared" si="1"/>
        <v>576.375</v>
      </c>
      <c r="O9">
        <f t="shared" si="2"/>
        <v>1721.1750000000002</v>
      </c>
    </row>
    <row r="10" spans="1:15" x14ac:dyDescent="0.3">
      <c r="A10" s="3">
        <v>20952</v>
      </c>
      <c r="B10" s="4">
        <v>45242</v>
      </c>
      <c r="C10" t="s">
        <v>35</v>
      </c>
      <c r="D10" s="5">
        <v>24.875</v>
      </c>
      <c r="E10" s="5">
        <v>21</v>
      </c>
      <c r="F10" s="5">
        <v>20.100502512562819</v>
      </c>
      <c r="G10">
        <v>14.25</v>
      </c>
      <c r="H10" s="3" t="s">
        <v>14</v>
      </c>
      <c r="I10" s="3" t="s">
        <v>16</v>
      </c>
      <c r="J10" s="3" t="s">
        <v>21</v>
      </c>
      <c r="K10" t="s">
        <v>21</v>
      </c>
      <c r="L10" t="s">
        <v>13</v>
      </c>
      <c r="M10" t="str">
        <f t="shared" si="0"/>
        <v>Spain</v>
      </c>
      <c r="N10">
        <f t="shared" si="1"/>
        <v>223.125</v>
      </c>
      <c r="O10">
        <f t="shared" si="2"/>
        <v>522.375</v>
      </c>
    </row>
    <row r="11" spans="1:15" x14ac:dyDescent="0.3">
      <c r="A11" s="3">
        <v>20954</v>
      </c>
      <c r="B11" s="4">
        <v>45242</v>
      </c>
      <c r="C11" t="s">
        <v>33</v>
      </c>
      <c r="D11" s="5">
        <v>8.7250000000000014</v>
      </c>
      <c r="E11" s="5">
        <v>64</v>
      </c>
      <c r="F11" s="5">
        <v>63.03724928366762</v>
      </c>
      <c r="G11">
        <v>4.4000000000000004</v>
      </c>
      <c r="H11" s="3" t="s">
        <v>14</v>
      </c>
      <c r="I11" s="3" t="s">
        <v>16</v>
      </c>
      <c r="J11" s="3" t="s">
        <v>21</v>
      </c>
      <c r="K11" t="s">
        <v>26</v>
      </c>
      <c r="L11" t="s">
        <v>13</v>
      </c>
      <c r="M11" t="str">
        <f t="shared" si="0"/>
        <v>Spain</v>
      </c>
      <c r="N11">
        <f t="shared" si="1"/>
        <v>276.80000000000007</v>
      </c>
      <c r="O11">
        <f t="shared" si="2"/>
        <v>558.40000000000009</v>
      </c>
    </row>
    <row r="12" spans="1:15" x14ac:dyDescent="0.3">
      <c r="A12" s="3">
        <v>20956</v>
      </c>
      <c r="B12" s="4">
        <v>45242</v>
      </c>
      <c r="C12" t="s">
        <v>34</v>
      </c>
      <c r="D12" s="5">
        <v>7.375</v>
      </c>
      <c r="E12" s="5">
        <v>68</v>
      </c>
      <c r="F12" s="5">
        <v>67.796610169491515</v>
      </c>
      <c r="G12">
        <v>2.3499999999999996</v>
      </c>
      <c r="H12" s="3" t="s">
        <v>14</v>
      </c>
      <c r="I12" s="3" t="s">
        <v>16</v>
      </c>
      <c r="J12" s="3" t="s">
        <v>21</v>
      </c>
      <c r="K12" t="s">
        <v>21</v>
      </c>
      <c r="L12" t="s">
        <v>13</v>
      </c>
      <c r="M12" t="str">
        <f t="shared" si="0"/>
        <v>Spain</v>
      </c>
      <c r="N12">
        <f t="shared" si="1"/>
        <v>341.70000000000005</v>
      </c>
      <c r="O12">
        <f t="shared" si="2"/>
        <v>501.5</v>
      </c>
    </row>
    <row r="13" spans="1:15" x14ac:dyDescent="0.3">
      <c r="A13" s="3">
        <v>20958</v>
      </c>
      <c r="B13" s="4">
        <v>45242</v>
      </c>
      <c r="C13" t="s">
        <v>32</v>
      </c>
      <c r="D13" s="5">
        <v>12.475000000000001</v>
      </c>
      <c r="E13" s="5">
        <v>21</v>
      </c>
      <c r="F13" s="5">
        <v>20.040080160320638</v>
      </c>
      <c r="G13">
        <v>11.25</v>
      </c>
      <c r="H13" s="3" t="s">
        <v>14</v>
      </c>
      <c r="I13" s="3" t="s">
        <v>16</v>
      </c>
      <c r="J13" s="3" t="s">
        <v>21</v>
      </c>
      <c r="K13" t="s">
        <v>25</v>
      </c>
      <c r="L13" t="s">
        <v>13</v>
      </c>
      <c r="M13" t="str">
        <f t="shared" si="0"/>
        <v>Spain</v>
      </c>
      <c r="N13">
        <f t="shared" si="1"/>
        <v>25.72500000000003</v>
      </c>
      <c r="O13">
        <f t="shared" si="2"/>
        <v>261.97500000000002</v>
      </c>
    </row>
    <row r="14" spans="1:15" x14ac:dyDescent="0.3">
      <c r="A14" s="3">
        <v>20960</v>
      </c>
      <c r="B14" s="4">
        <v>45243</v>
      </c>
      <c r="C14" t="s">
        <v>36</v>
      </c>
      <c r="D14" s="5">
        <v>32.475000000000001</v>
      </c>
      <c r="E14" s="5">
        <v>51</v>
      </c>
      <c r="F14" s="5">
        <v>50.808314087759818</v>
      </c>
      <c r="G14">
        <v>21.6</v>
      </c>
      <c r="H14" s="3" t="s">
        <v>14</v>
      </c>
      <c r="I14" s="3" t="s">
        <v>16</v>
      </c>
      <c r="J14" s="3" t="s">
        <v>21</v>
      </c>
      <c r="K14" t="s">
        <v>21</v>
      </c>
      <c r="L14" t="s">
        <v>13</v>
      </c>
      <c r="M14" t="str">
        <f t="shared" si="0"/>
        <v>Spain</v>
      </c>
      <c r="N14">
        <f t="shared" si="1"/>
        <v>554.625</v>
      </c>
      <c r="O14">
        <f t="shared" si="2"/>
        <v>1656.2250000000001</v>
      </c>
    </row>
    <row r="15" spans="1:15" x14ac:dyDescent="0.3">
      <c r="A15" s="3">
        <v>20962</v>
      </c>
      <c r="B15" s="4">
        <v>45243</v>
      </c>
      <c r="C15" t="s">
        <v>35</v>
      </c>
      <c r="D15" s="5">
        <v>24.875</v>
      </c>
      <c r="E15" s="5">
        <v>21</v>
      </c>
      <c r="F15" s="5">
        <v>20.100502512562819</v>
      </c>
      <c r="G15">
        <v>14.25</v>
      </c>
      <c r="H15" s="3" t="s">
        <v>14</v>
      </c>
      <c r="I15" s="3" t="s">
        <v>16</v>
      </c>
      <c r="J15" s="3" t="s">
        <v>21</v>
      </c>
      <c r="K15" t="s">
        <v>21</v>
      </c>
      <c r="L15" t="s">
        <v>13</v>
      </c>
      <c r="M15" t="str">
        <f t="shared" si="0"/>
        <v>Spain</v>
      </c>
      <c r="N15">
        <f t="shared" si="1"/>
        <v>223.125</v>
      </c>
      <c r="O15">
        <f t="shared" si="2"/>
        <v>522.375</v>
      </c>
    </row>
    <row r="16" spans="1:15" x14ac:dyDescent="0.3">
      <c r="A16" s="3">
        <v>20964</v>
      </c>
      <c r="B16" s="4">
        <v>45243</v>
      </c>
      <c r="C16" t="s">
        <v>33</v>
      </c>
      <c r="D16" s="5">
        <v>63.75</v>
      </c>
      <c r="E16" s="5">
        <v>64</v>
      </c>
      <c r="F16" s="5">
        <v>63.03724928366762</v>
      </c>
      <c r="G16">
        <v>4.4000000000000004</v>
      </c>
      <c r="H16" s="3" t="s">
        <v>14</v>
      </c>
      <c r="I16" s="3" t="s">
        <v>16</v>
      </c>
      <c r="J16" s="3" t="s">
        <v>24</v>
      </c>
      <c r="K16" t="s">
        <v>24</v>
      </c>
      <c r="L16" t="s">
        <v>15</v>
      </c>
      <c r="M16" t="str">
        <f t="shared" si="0"/>
        <v>Portugal</v>
      </c>
      <c r="N16">
        <f t="shared" si="1"/>
        <v>3798.4</v>
      </c>
      <c r="O16">
        <f t="shared" si="2"/>
        <v>4080</v>
      </c>
    </row>
    <row r="17" spans="1:15" x14ac:dyDescent="0.3">
      <c r="A17" s="3">
        <v>20966</v>
      </c>
      <c r="B17" s="4">
        <v>45243</v>
      </c>
      <c r="C17" t="s">
        <v>34</v>
      </c>
      <c r="D17" s="5">
        <v>83.05</v>
      </c>
      <c r="E17" s="5">
        <v>68</v>
      </c>
      <c r="F17" s="5">
        <v>67.796610169491515</v>
      </c>
      <c r="G17">
        <v>2.3499999999999996</v>
      </c>
      <c r="H17" s="3" t="s">
        <v>14</v>
      </c>
      <c r="I17" s="3" t="s">
        <v>16</v>
      </c>
      <c r="J17" s="3" t="s">
        <v>24</v>
      </c>
      <c r="K17" t="s">
        <v>23</v>
      </c>
      <c r="L17" t="s">
        <v>15</v>
      </c>
      <c r="M17" t="str">
        <f t="shared" si="0"/>
        <v>Portugal</v>
      </c>
      <c r="N17">
        <f t="shared" si="1"/>
        <v>5487.6</v>
      </c>
      <c r="O17">
        <f t="shared" si="2"/>
        <v>5647.4</v>
      </c>
    </row>
    <row r="18" spans="1:15" x14ac:dyDescent="0.3">
      <c r="A18" s="3">
        <v>20966</v>
      </c>
      <c r="B18" s="4">
        <v>45243</v>
      </c>
      <c r="C18" t="s">
        <v>34</v>
      </c>
      <c r="D18" s="5">
        <v>7.375</v>
      </c>
      <c r="E18" s="5">
        <v>68</v>
      </c>
      <c r="F18" s="5">
        <v>67.796610169491515</v>
      </c>
      <c r="G18">
        <v>2.3499999999999996</v>
      </c>
      <c r="H18" s="3" t="s">
        <v>14</v>
      </c>
      <c r="I18" s="3" t="s">
        <v>16</v>
      </c>
      <c r="J18" s="3" t="s">
        <v>24</v>
      </c>
      <c r="K18" t="s">
        <v>23</v>
      </c>
      <c r="L18" t="s">
        <v>15</v>
      </c>
      <c r="M18" t="str">
        <f t="shared" si="0"/>
        <v>Portugal</v>
      </c>
      <c r="N18">
        <f t="shared" si="1"/>
        <v>341.70000000000005</v>
      </c>
      <c r="O18">
        <f t="shared" si="2"/>
        <v>501.5</v>
      </c>
    </row>
    <row r="19" spans="1:15" x14ac:dyDescent="0.3">
      <c r="A19" s="3">
        <v>20968</v>
      </c>
      <c r="B19" s="4">
        <v>45243</v>
      </c>
      <c r="C19" t="s">
        <v>32</v>
      </c>
      <c r="D19" s="5">
        <v>53.6</v>
      </c>
      <c r="E19" s="5">
        <v>21</v>
      </c>
      <c r="F19" s="5">
        <v>20.040080160320638</v>
      </c>
      <c r="G19">
        <v>21.6</v>
      </c>
      <c r="H19" s="3" t="s">
        <v>14</v>
      </c>
      <c r="I19" s="3" t="s">
        <v>16</v>
      </c>
      <c r="J19" s="3" t="s">
        <v>24</v>
      </c>
      <c r="K19" t="s">
        <v>23</v>
      </c>
      <c r="L19" t="s">
        <v>15</v>
      </c>
      <c r="M19" t="str">
        <f t="shared" si="0"/>
        <v>Portugal</v>
      </c>
      <c r="N19">
        <f t="shared" si="1"/>
        <v>672</v>
      </c>
      <c r="O19">
        <f t="shared" si="2"/>
        <v>1125.6000000000001</v>
      </c>
    </row>
    <row r="20" spans="1:15" x14ac:dyDescent="0.3">
      <c r="A20" s="3">
        <v>20968</v>
      </c>
      <c r="B20" s="4">
        <v>45243</v>
      </c>
      <c r="C20" t="s">
        <v>32</v>
      </c>
      <c r="D20" s="5">
        <v>12.475000000000001</v>
      </c>
      <c r="E20" s="5">
        <v>21</v>
      </c>
      <c r="F20" s="5">
        <v>20.040080160320638</v>
      </c>
      <c r="G20">
        <v>21.6</v>
      </c>
      <c r="H20" s="3" t="s">
        <v>14</v>
      </c>
      <c r="I20" s="3" t="s">
        <v>16</v>
      </c>
      <c r="J20" s="3" t="s">
        <v>24</v>
      </c>
      <c r="K20" t="s">
        <v>23</v>
      </c>
      <c r="L20" t="s">
        <v>15</v>
      </c>
      <c r="M20" t="str">
        <f t="shared" si="0"/>
        <v>Portugal</v>
      </c>
      <c r="N20">
        <f t="shared" si="1"/>
        <v>-191.625</v>
      </c>
      <c r="O20">
        <f t="shared" si="2"/>
        <v>261.97500000000002</v>
      </c>
    </row>
    <row r="21" spans="1:15" x14ac:dyDescent="0.3">
      <c r="A21" s="3">
        <v>20970</v>
      </c>
      <c r="B21" s="4">
        <v>45244</v>
      </c>
      <c r="C21" t="s">
        <v>36</v>
      </c>
      <c r="D21" s="5">
        <v>69.974999999999994</v>
      </c>
      <c r="E21" s="5">
        <v>53</v>
      </c>
      <c r="F21" s="5">
        <v>52.347959969207082</v>
      </c>
      <c r="G21">
        <v>11.25</v>
      </c>
      <c r="H21" s="3" t="s">
        <v>14</v>
      </c>
      <c r="I21" s="3" t="s">
        <v>16</v>
      </c>
      <c r="J21" s="3" t="s">
        <v>24</v>
      </c>
      <c r="K21" t="s">
        <v>23</v>
      </c>
      <c r="L21" t="s">
        <v>15</v>
      </c>
      <c r="M21" t="str">
        <f t="shared" si="0"/>
        <v>Portugal</v>
      </c>
      <c r="N21">
        <f t="shared" si="1"/>
        <v>3112.4249999999997</v>
      </c>
      <c r="O21">
        <f t="shared" si="2"/>
        <v>3708.6749999999997</v>
      </c>
    </row>
    <row r="22" spans="1:15" x14ac:dyDescent="0.3">
      <c r="A22" s="3">
        <v>20970</v>
      </c>
      <c r="B22" s="4">
        <v>45244</v>
      </c>
      <c r="C22" t="s">
        <v>36</v>
      </c>
      <c r="D22" s="5">
        <v>32.475000000000001</v>
      </c>
      <c r="E22" s="5">
        <v>53</v>
      </c>
      <c r="F22" s="5">
        <v>52.347959969207082</v>
      </c>
      <c r="G22">
        <v>11.25</v>
      </c>
      <c r="H22" s="3" t="s">
        <v>14</v>
      </c>
      <c r="I22" s="3" t="s">
        <v>16</v>
      </c>
      <c r="J22" s="3" t="s">
        <v>24</v>
      </c>
      <c r="K22" t="s">
        <v>23</v>
      </c>
      <c r="L22" t="s">
        <v>15</v>
      </c>
      <c r="M22" t="str">
        <f t="shared" si="0"/>
        <v>Portugal</v>
      </c>
      <c r="N22">
        <f t="shared" si="1"/>
        <v>1124.9250000000002</v>
      </c>
      <c r="O22">
        <f t="shared" si="2"/>
        <v>1721.1750000000002</v>
      </c>
    </row>
    <row r="23" spans="1:15" x14ac:dyDescent="0.3">
      <c r="A23" s="3">
        <v>20972</v>
      </c>
      <c r="B23" s="4">
        <v>45244</v>
      </c>
      <c r="C23" t="s">
        <v>35</v>
      </c>
      <c r="D23" s="5">
        <v>72.625</v>
      </c>
      <c r="E23" s="5">
        <v>21</v>
      </c>
      <c r="F23" s="5">
        <v>20.100502512562819</v>
      </c>
      <c r="G23">
        <v>14.25</v>
      </c>
      <c r="H23" s="3" t="s">
        <v>14</v>
      </c>
      <c r="I23" s="3" t="s">
        <v>16</v>
      </c>
      <c r="J23" s="3" t="s">
        <v>24</v>
      </c>
      <c r="K23" t="s">
        <v>23</v>
      </c>
      <c r="L23" t="s">
        <v>15</v>
      </c>
      <c r="M23" t="str">
        <f t="shared" si="0"/>
        <v>Portugal</v>
      </c>
      <c r="N23">
        <f t="shared" si="1"/>
        <v>1225.875</v>
      </c>
      <c r="O23">
        <f t="shared" si="2"/>
        <v>1525.125</v>
      </c>
    </row>
    <row r="24" spans="1:15" x14ac:dyDescent="0.3">
      <c r="A24" s="3">
        <v>20974</v>
      </c>
      <c r="B24" s="4">
        <v>45244</v>
      </c>
      <c r="C24" t="s">
        <v>33</v>
      </c>
      <c r="D24" s="5">
        <v>8.7250000000000014</v>
      </c>
      <c r="E24" s="5">
        <v>64</v>
      </c>
      <c r="F24" s="5">
        <v>63.03724928366762</v>
      </c>
      <c r="G24">
        <v>21.6</v>
      </c>
      <c r="H24" s="3" t="s">
        <v>14</v>
      </c>
      <c r="I24" s="3" t="s">
        <v>16</v>
      </c>
      <c r="J24" s="3" t="s">
        <v>24</v>
      </c>
      <c r="K24" t="s">
        <v>24</v>
      </c>
      <c r="L24" t="s">
        <v>15</v>
      </c>
      <c r="M24" t="str">
        <f t="shared" si="0"/>
        <v>Portugal</v>
      </c>
      <c r="N24">
        <f t="shared" si="1"/>
        <v>-824</v>
      </c>
      <c r="O24">
        <f t="shared" si="2"/>
        <v>558.40000000000009</v>
      </c>
    </row>
    <row r="25" spans="1:15" x14ac:dyDescent="0.3">
      <c r="A25" s="3">
        <v>20976</v>
      </c>
      <c r="B25" s="4">
        <v>45244</v>
      </c>
      <c r="C25" t="s">
        <v>34</v>
      </c>
      <c r="D25" s="5">
        <v>7.375</v>
      </c>
      <c r="E25" s="5">
        <v>68</v>
      </c>
      <c r="F25" s="5">
        <v>67.796610169491515</v>
      </c>
      <c r="G25">
        <v>4.4000000000000004</v>
      </c>
      <c r="H25" s="3" t="s">
        <v>14</v>
      </c>
      <c r="I25" s="3" t="s">
        <v>16</v>
      </c>
      <c r="J25" s="3" t="s">
        <v>24</v>
      </c>
      <c r="K25" t="s">
        <v>24</v>
      </c>
      <c r="L25" t="s">
        <v>15</v>
      </c>
      <c r="M25" t="str">
        <f t="shared" si="0"/>
        <v>Portugal</v>
      </c>
      <c r="N25">
        <f t="shared" si="1"/>
        <v>202.29999999999998</v>
      </c>
      <c r="O25">
        <f t="shared" si="2"/>
        <v>501.5</v>
      </c>
    </row>
    <row r="26" spans="1:15" x14ac:dyDescent="0.3">
      <c r="A26" s="3">
        <v>20978</v>
      </c>
      <c r="B26" s="4">
        <v>45244</v>
      </c>
      <c r="C26" t="s">
        <v>32</v>
      </c>
      <c r="D26" s="5">
        <v>12.475000000000001</v>
      </c>
      <c r="E26" s="5">
        <v>21</v>
      </c>
      <c r="F26" s="5">
        <v>20.040080160320638</v>
      </c>
      <c r="G26">
        <v>14.25</v>
      </c>
      <c r="H26" s="3" t="s">
        <v>14</v>
      </c>
      <c r="I26" s="3" t="s">
        <v>16</v>
      </c>
      <c r="J26" s="3" t="s">
        <v>21</v>
      </c>
      <c r="K26" t="s">
        <v>21</v>
      </c>
      <c r="L26" t="s">
        <v>13</v>
      </c>
      <c r="M26" t="str">
        <f t="shared" si="0"/>
        <v>Spain</v>
      </c>
      <c r="N26">
        <f t="shared" si="1"/>
        <v>-37.27499999999997</v>
      </c>
      <c r="O26">
        <f t="shared" si="2"/>
        <v>261.97500000000002</v>
      </c>
    </row>
    <row r="27" spans="1:15" x14ac:dyDescent="0.3">
      <c r="A27" s="3">
        <v>20980</v>
      </c>
      <c r="B27" s="4">
        <v>45245</v>
      </c>
      <c r="C27" t="s">
        <v>36</v>
      </c>
      <c r="D27" s="5">
        <v>32.475000000000001</v>
      </c>
      <c r="E27" s="5">
        <v>51</v>
      </c>
      <c r="F27" s="5">
        <v>50.808314087759818</v>
      </c>
      <c r="G27">
        <v>4.4000000000000004</v>
      </c>
      <c r="H27" s="3" t="s">
        <v>14</v>
      </c>
      <c r="I27" s="3" t="s">
        <v>16</v>
      </c>
      <c r="J27" s="3" t="s">
        <v>21</v>
      </c>
      <c r="K27" t="s">
        <v>21</v>
      </c>
      <c r="L27" t="s">
        <v>13</v>
      </c>
      <c r="M27" t="str">
        <f t="shared" si="0"/>
        <v>Spain</v>
      </c>
      <c r="N27">
        <f t="shared" si="1"/>
        <v>1431.825</v>
      </c>
      <c r="O27">
        <f t="shared" si="2"/>
        <v>1656.2250000000001</v>
      </c>
    </row>
    <row r="28" spans="1:15" x14ac:dyDescent="0.3">
      <c r="A28" s="3">
        <v>20982</v>
      </c>
      <c r="B28" s="4">
        <v>45245</v>
      </c>
      <c r="C28" t="s">
        <v>35</v>
      </c>
      <c r="D28" s="5">
        <v>24.875</v>
      </c>
      <c r="E28" s="5">
        <v>21</v>
      </c>
      <c r="F28" s="5">
        <v>20.100502512562819</v>
      </c>
      <c r="G28">
        <v>2.3499999999999996</v>
      </c>
      <c r="H28" s="3" t="s">
        <v>14</v>
      </c>
      <c r="I28" s="3" t="s">
        <v>16</v>
      </c>
      <c r="J28" s="3" t="s">
        <v>21</v>
      </c>
      <c r="K28" t="s">
        <v>21</v>
      </c>
      <c r="L28" t="s">
        <v>13</v>
      </c>
      <c r="M28" t="str">
        <f t="shared" si="0"/>
        <v>Spain</v>
      </c>
      <c r="N28">
        <f t="shared" si="1"/>
        <v>473.02499999999998</v>
      </c>
      <c r="O28">
        <f t="shared" si="2"/>
        <v>522.375</v>
      </c>
    </row>
    <row r="29" spans="1:15" x14ac:dyDescent="0.3">
      <c r="A29" s="3">
        <v>20984</v>
      </c>
      <c r="B29" s="4">
        <v>45245</v>
      </c>
      <c r="C29" t="s">
        <v>33</v>
      </c>
      <c r="D29" s="5">
        <v>8.7250000000000014</v>
      </c>
      <c r="E29" s="5">
        <v>58</v>
      </c>
      <c r="F29" s="5">
        <v>57.306590257879648</v>
      </c>
      <c r="G29">
        <v>11.25</v>
      </c>
      <c r="H29" s="3" t="s">
        <v>14</v>
      </c>
      <c r="I29" s="3" t="s">
        <v>16</v>
      </c>
      <c r="J29" s="3" t="s">
        <v>21</v>
      </c>
      <c r="K29" t="s">
        <v>21</v>
      </c>
      <c r="L29" t="s">
        <v>13</v>
      </c>
      <c r="M29" t="str">
        <f t="shared" si="0"/>
        <v>Spain</v>
      </c>
      <c r="N29">
        <f t="shared" si="1"/>
        <v>-146.44999999999993</v>
      </c>
      <c r="O29">
        <f t="shared" si="2"/>
        <v>506.05000000000007</v>
      </c>
    </row>
    <row r="30" spans="1:15" x14ac:dyDescent="0.3">
      <c r="A30" s="3">
        <v>20986</v>
      </c>
      <c r="B30" s="4">
        <v>45245</v>
      </c>
      <c r="C30" t="s">
        <v>34</v>
      </c>
      <c r="D30" s="5">
        <v>7.375</v>
      </c>
      <c r="E30" s="5">
        <v>68</v>
      </c>
      <c r="F30" s="5">
        <v>67.796610169491515</v>
      </c>
      <c r="G30">
        <v>21.6</v>
      </c>
      <c r="H30" s="3" t="s">
        <v>14</v>
      </c>
      <c r="I30" s="3" t="s">
        <v>16</v>
      </c>
      <c r="J30" s="3" t="s">
        <v>21</v>
      </c>
      <c r="K30" t="s">
        <v>21</v>
      </c>
      <c r="L30" t="s">
        <v>13</v>
      </c>
      <c r="M30" t="str">
        <f t="shared" si="0"/>
        <v>Spain</v>
      </c>
      <c r="N30">
        <f t="shared" si="1"/>
        <v>-967.30000000000007</v>
      </c>
      <c r="O30">
        <f t="shared" si="2"/>
        <v>501.5</v>
      </c>
    </row>
    <row r="31" spans="1:15" x14ac:dyDescent="0.3">
      <c r="A31" s="3">
        <v>20988</v>
      </c>
      <c r="B31" s="4">
        <v>45245</v>
      </c>
      <c r="C31" t="s">
        <v>32</v>
      </c>
      <c r="D31" s="5">
        <v>12.475000000000001</v>
      </c>
      <c r="E31" s="5">
        <v>21</v>
      </c>
      <c r="F31" s="5">
        <v>20.040080160320638</v>
      </c>
      <c r="G31">
        <v>14.25</v>
      </c>
      <c r="H31" s="3" t="s">
        <v>14</v>
      </c>
      <c r="I31" s="3" t="s">
        <v>16</v>
      </c>
      <c r="J31" s="3" t="s">
        <v>21</v>
      </c>
      <c r="K31" t="s">
        <v>21</v>
      </c>
      <c r="L31" t="s">
        <v>13</v>
      </c>
      <c r="M31" t="str">
        <f t="shared" si="0"/>
        <v>Spain</v>
      </c>
      <c r="N31">
        <f t="shared" si="1"/>
        <v>-37.27499999999997</v>
      </c>
      <c r="O31">
        <f t="shared" si="2"/>
        <v>261.97500000000002</v>
      </c>
    </row>
    <row r="32" spans="1:15" x14ac:dyDescent="0.3">
      <c r="A32" s="3">
        <v>20990</v>
      </c>
      <c r="B32" s="4">
        <v>45246</v>
      </c>
      <c r="C32" t="s">
        <v>36</v>
      </c>
      <c r="D32" s="5">
        <v>32.475000000000001</v>
      </c>
      <c r="E32" s="5">
        <v>51</v>
      </c>
      <c r="F32" s="5">
        <v>50.808314087759818</v>
      </c>
      <c r="G32">
        <v>4.4000000000000004</v>
      </c>
      <c r="H32" s="3" t="s">
        <v>14</v>
      </c>
      <c r="I32" s="3" t="s">
        <v>16</v>
      </c>
      <c r="J32" s="3" t="s">
        <v>21</v>
      </c>
      <c r="K32" t="s">
        <v>21</v>
      </c>
      <c r="L32" t="s">
        <v>13</v>
      </c>
      <c r="M32" t="str">
        <f t="shared" si="0"/>
        <v>Spain</v>
      </c>
      <c r="N32">
        <f t="shared" si="1"/>
        <v>1431.825</v>
      </c>
      <c r="O32">
        <f t="shared" si="2"/>
        <v>1656.2250000000001</v>
      </c>
    </row>
    <row r="33" spans="1:15" x14ac:dyDescent="0.3">
      <c r="A33" s="3">
        <v>20992</v>
      </c>
      <c r="B33" s="4">
        <v>45246</v>
      </c>
      <c r="C33" t="s">
        <v>35</v>
      </c>
      <c r="D33" s="5">
        <v>24.875</v>
      </c>
      <c r="E33" s="5">
        <v>21</v>
      </c>
      <c r="F33" s="5">
        <v>20.100502512562819</v>
      </c>
      <c r="G33">
        <v>2.3499999999999996</v>
      </c>
      <c r="H33" s="3" t="s">
        <v>14</v>
      </c>
      <c r="I33" s="3" t="s">
        <v>16</v>
      </c>
      <c r="J33" s="3" t="s">
        <v>21</v>
      </c>
      <c r="K33" t="s">
        <v>21</v>
      </c>
      <c r="L33" t="s">
        <v>13</v>
      </c>
      <c r="M33" t="str">
        <f t="shared" si="0"/>
        <v>Spain</v>
      </c>
      <c r="N33">
        <f t="shared" si="1"/>
        <v>473.02499999999998</v>
      </c>
      <c r="O33">
        <f t="shared" si="2"/>
        <v>522.375</v>
      </c>
    </row>
    <row r="34" spans="1:15" x14ac:dyDescent="0.3">
      <c r="A34" s="3">
        <v>20994</v>
      </c>
      <c r="B34" s="4">
        <v>45246</v>
      </c>
      <c r="C34" t="s">
        <v>33</v>
      </c>
      <c r="D34" s="5">
        <v>8.7250000000000014</v>
      </c>
      <c r="E34" s="5">
        <v>58</v>
      </c>
      <c r="F34" s="5">
        <v>57.306590257879648</v>
      </c>
      <c r="G34">
        <v>11.25</v>
      </c>
      <c r="H34" s="3" t="s">
        <v>14</v>
      </c>
      <c r="I34" s="3" t="s">
        <v>16</v>
      </c>
      <c r="J34" s="3" t="s">
        <v>21</v>
      </c>
      <c r="K34" t="s">
        <v>21</v>
      </c>
      <c r="L34" t="s">
        <v>13</v>
      </c>
      <c r="M34" t="str">
        <f t="shared" si="0"/>
        <v>Spain</v>
      </c>
      <c r="N34">
        <f t="shared" si="1"/>
        <v>-146.44999999999993</v>
      </c>
      <c r="O34">
        <f t="shared" si="2"/>
        <v>506.05000000000007</v>
      </c>
    </row>
    <row r="35" spans="1:15" x14ac:dyDescent="0.3">
      <c r="A35" s="3">
        <v>20996</v>
      </c>
      <c r="B35" s="4">
        <v>45246</v>
      </c>
      <c r="C35" t="s">
        <v>34</v>
      </c>
      <c r="D35" s="5">
        <v>7.375</v>
      </c>
      <c r="E35" s="5">
        <v>68</v>
      </c>
      <c r="F35" s="5">
        <v>67.796610169491515</v>
      </c>
      <c r="G35">
        <v>21.6</v>
      </c>
      <c r="H35" s="3" t="s">
        <v>19</v>
      </c>
      <c r="I35" s="3" t="s">
        <v>16</v>
      </c>
      <c r="J35" s="3" t="s">
        <v>21</v>
      </c>
      <c r="K35" t="s">
        <v>21</v>
      </c>
      <c r="L35" t="s">
        <v>13</v>
      </c>
      <c r="M35" t="str">
        <f t="shared" si="0"/>
        <v>Spain</v>
      </c>
      <c r="N35">
        <f t="shared" si="1"/>
        <v>-967.30000000000007</v>
      </c>
      <c r="O35">
        <f t="shared" si="2"/>
        <v>501.5</v>
      </c>
    </row>
    <row r="36" spans="1:15" x14ac:dyDescent="0.3">
      <c r="A36" s="3">
        <v>20998</v>
      </c>
      <c r="B36" s="4">
        <v>45246</v>
      </c>
      <c r="C36" t="s">
        <v>32</v>
      </c>
      <c r="D36" s="5">
        <v>12.475000000000001</v>
      </c>
      <c r="E36" s="5">
        <v>21</v>
      </c>
      <c r="F36" s="5">
        <v>20.040080160320638</v>
      </c>
      <c r="G36">
        <v>14.25</v>
      </c>
      <c r="H36" s="3" t="s">
        <v>19</v>
      </c>
      <c r="I36" s="3" t="s">
        <v>16</v>
      </c>
      <c r="J36" s="3" t="s">
        <v>21</v>
      </c>
      <c r="K36" t="s">
        <v>21</v>
      </c>
      <c r="L36" t="s">
        <v>13</v>
      </c>
      <c r="M36" t="str">
        <f t="shared" si="0"/>
        <v>Spain</v>
      </c>
      <c r="N36">
        <f t="shared" si="1"/>
        <v>-37.27499999999997</v>
      </c>
      <c r="O36">
        <f t="shared" si="2"/>
        <v>261.97500000000002</v>
      </c>
    </row>
    <row r="37" spans="1:15" x14ac:dyDescent="0.3">
      <c r="A37" s="3">
        <v>21000</v>
      </c>
      <c r="B37" s="4">
        <v>45247</v>
      </c>
      <c r="C37" t="s">
        <v>36</v>
      </c>
      <c r="D37" s="5">
        <v>32.475000000000001</v>
      </c>
      <c r="E37" s="5">
        <v>53</v>
      </c>
      <c r="F37" s="5">
        <v>52.347959969207082</v>
      </c>
      <c r="G37">
        <v>4.4000000000000004</v>
      </c>
      <c r="H37" s="3" t="s">
        <v>19</v>
      </c>
      <c r="I37" s="3" t="s">
        <v>16</v>
      </c>
      <c r="J37" s="3" t="s">
        <v>21</v>
      </c>
      <c r="K37" t="s">
        <v>21</v>
      </c>
      <c r="L37" t="s">
        <v>13</v>
      </c>
      <c r="M37" t="str">
        <f t="shared" si="0"/>
        <v>Spain</v>
      </c>
      <c r="N37">
        <f t="shared" si="1"/>
        <v>1487.9750000000001</v>
      </c>
      <c r="O37">
        <f t="shared" si="2"/>
        <v>1721.1750000000002</v>
      </c>
    </row>
    <row r="38" spans="1:15" x14ac:dyDescent="0.3">
      <c r="A38" s="3">
        <v>21002</v>
      </c>
      <c r="B38" s="4">
        <v>45247</v>
      </c>
      <c r="C38" t="s">
        <v>35</v>
      </c>
      <c r="D38" s="5">
        <v>24.875</v>
      </c>
      <c r="E38" s="5">
        <v>21</v>
      </c>
      <c r="F38" s="5">
        <v>20.100502512562819</v>
      </c>
      <c r="G38">
        <v>2.3499999999999996</v>
      </c>
      <c r="H38" s="3" t="s">
        <v>19</v>
      </c>
      <c r="I38" s="3" t="s">
        <v>16</v>
      </c>
      <c r="J38" s="3" t="s">
        <v>21</v>
      </c>
      <c r="K38" t="s">
        <v>21</v>
      </c>
      <c r="L38" t="s">
        <v>13</v>
      </c>
      <c r="M38" t="str">
        <f t="shared" si="0"/>
        <v>Spain</v>
      </c>
      <c r="N38">
        <f t="shared" si="1"/>
        <v>473.02499999999998</v>
      </c>
      <c r="O38">
        <f t="shared" si="2"/>
        <v>522.375</v>
      </c>
    </row>
    <row r="39" spans="1:15" x14ac:dyDescent="0.3">
      <c r="A39" s="3">
        <v>21004</v>
      </c>
      <c r="B39" s="4">
        <v>45247</v>
      </c>
      <c r="C39" t="s">
        <v>33</v>
      </c>
      <c r="D39" s="5">
        <v>8.7250000000000014</v>
      </c>
      <c r="E39" s="5">
        <v>64</v>
      </c>
      <c r="F39" s="5">
        <v>63.03724928366762</v>
      </c>
      <c r="G39">
        <v>11.25</v>
      </c>
      <c r="H39" s="3" t="s">
        <v>19</v>
      </c>
      <c r="I39" s="3" t="s">
        <v>16</v>
      </c>
      <c r="J39" s="3" t="s">
        <v>21</v>
      </c>
      <c r="K39" t="s">
        <v>21</v>
      </c>
      <c r="L39" t="s">
        <v>13</v>
      </c>
      <c r="M39" t="str">
        <f t="shared" si="0"/>
        <v>Spain</v>
      </c>
      <c r="N39">
        <f t="shared" si="1"/>
        <v>-161.59999999999991</v>
      </c>
      <c r="O39">
        <f t="shared" si="2"/>
        <v>558.40000000000009</v>
      </c>
    </row>
    <row r="40" spans="1:15" x14ac:dyDescent="0.3">
      <c r="A40" s="3">
        <v>21006</v>
      </c>
      <c r="B40" s="4">
        <v>45247</v>
      </c>
      <c r="C40" t="s">
        <v>34</v>
      </c>
      <c r="D40" s="5">
        <v>7.375</v>
      </c>
      <c r="E40" s="5">
        <v>68</v>
      </c>
      <c r="F40" s="5">
        <v>67.796610169491515</v>
      </c>
      <c r="G40">
        <v>21.6</v>
      </c>
      <c r="H40" s="3" t="s">
        <v>19</v>
      </c>
      <c r="I40" s="3" t="s">
        <v>16</v>
      </c>
      <c r="J40" s="3" t="s">
        <v>21</v>
      </c>
      <c r="K40" t="s">
        <v>21</v>
      </c>
      <c r="L40" t="s">
        <v>13</v>
      </c>
      <c r="M40" t="str">
        <f t="shared" si="0"/>
        <v>Spain</v>
      </c>
      <c r="N40">
        <f t="shared" si="1"/>
        <v>-967.30000000000007</v>
      </c>
      <c r="O40">
        <f t="shared" si="2"/>
        <v>501.5</v>
      </c>
    </row>
    <row r="41" spans="1:15" x14ac:dyDescent="0.3">
      <c r="A41" s="3">
        <v>21008</v>
      </c>
      <c r="B41" s="4">
        <v>45247</v>
      </c>
      <c r="C41" t="s">
        <v>32</v>
      </c>
      <c r="D41" s="5">
        <v>12.475000000000001</v>
      </c>
      <c r="E41" s="5">
        <v>21</v>
      </c>
      <c r="F41" s="5">
        <v>20.040080160320638</v>
      </c>
      <c r="G41">
        <v>14.25</v>
      </c>
      <c r="H41" s="3" t="s">
        <v>19</v>
      </c>
      <c r="I41" s="3" t="s">
        <v>16</v>
      </c>
      <c r="J41" s="3" t="s">
        <v>21</v>
      </c>
      <c r="K41" t="s">
        <v>21</v>
      </c>
      <c r="L41" t="s">
        <v>13</v>
      </c>
      <c r="M41" t="str">
        <f t="shared" si="0"/>
        <v>Spain</v>
      </c>
      <c r="N41">
        <f t="shared" si="1"/>
        <v>-37.27499999999997</v>
      </c>
      <c r="O41">
        <f t="shared" si="2"/>
        <v>261.97500000000002</v>
      </c>
    </row>
    <row r="42" spans="1:15" x14ac:dyDescent="0.3">
      <c r="A42" s="3">
        <v>21010</v>
      </c>
      <c r="B42" s="4">
        <v>45248</v>
      </c>
      <c r="C42" t="s">
        <v>36</v>
      </c>
      <c r="D42" s="5">
        <v>32.475000000000001</v>
      </c>
      <c r="E42" s="5">
        <v>54</v>
      </c>
      <c r="F42" s="5">
        <v>53.887605850654346</v>
      </c>
      <c r="G42">
        <v>4.4000000000000004</v>
      </c>
      <c r="H42" s="3" t="s">
        <v>19</v>
      </c>
      <c r="I42" s="3" t="s">
        <v>16</v>
      </c>
      <c r="J42" s="3" t="s">
        <v>21</v>
      </c>
      <c r="K42" t="s">
        <v>21</v>
      </c>
      <c r="L42" t="s">
        <v>13</v>
      </c>
      <c r="M42" t="str">
        <f t="shared" si="0"/>
        <v>Spain</v>
      </c>
      <c r="N42">
        <f t="shared" si="1"/>
        <v>1516.0500000000002</v>
      </c>
      <c r="O42">
        <f t="shared" si="2"/>
        <v>1753.65</v>
      </c>
    </row>
    <row r="43" spans="1:15" x14ac:dyDescent="0.3">
      <c r="A43" s="3">
        <v>21012</v>
      </c>
      <c r="B43" s="4">
        <v>45248</v>
      </c>
      <c r="C43" t="s">
        <v>35</v>
      </c>
      <c r="D43" s="5">
        <v>24.875</v>
      </c>
      <c r="E43" s="5">
        <v>21</v>
      </c>
      <c r="F43" s="5">
        <v>20.100502512562819</v>
      </c>
      <c r="G43">
        <v>2.3499999999999996</v>
      </c>
      <c r="H43" s="3" t="s">
        <v>19</v>
      </c>
      <c r="I43" s="3" t="s">
        <v>16</v>
      </c>
      <c r="J43" s="3" t="s">
        <v>21</v>
      </c>
      <c r="K43" t="s">
        <v>21</v>
      </c>
      <c r="L43" t="s">
        <v>13</v>
      </c>
      <c r="M43" t="str">
        <f t="shared" si="0"/>
        <v>Spain</v>
      </c>
      <c r="N43">
        <f t="shared" si="1"/>
        <v>473.02499999999998</v>
      </c>
      <c r="O43">
        <f t="shared" si="2"/>
        <v>522.375</v>
      </c>
    </row>
    <row r="44" spans="1:15" x14ac:dyDescent="0.3">
      <c r="A44" s="3">
        <v>21014</v>
      </c>
      <c r="B44" s="4">
        <v>45248</v>
      </c>
      <c r="C44" t="s">
        <v>33</v>
      </c>
      <c r="D44" s="5">
        <v>8.7250000000000014</v>
      </c>
      <c r="E44" s="5">
        <v>69</v>
      </c>
      <c r="F44" s="5">
        <v>68.767908309455578</v>
      </c>
      <c r="G44">
        <v>11.25</v>
      </c>
      <c r="H44" s="3" t="s">
        <v>19</v>
      </c>
      <c r="I44" s="3" t="s">
        <v>16</v>
      </c>
      <c r="J44" s="3" t="s">
        <v>21</v>
      </c>
      <c r="K44" t="s">
        <v>21</v>
      </c>
      <c r="L44" t="s">
        <v>13</v>
      </c>
      <c r="M44" t="str">
        <f t="shared" si="0"/>
        <v>Spain</v>
      </c>
      <c r="N44">
        <f t="shared" si="1"/>
        <v>-174.22499999999991</v>
      </c>
      <c r="O44">
        <f t="shared" si="2"/>
        <v>602.02500000000009</v>
      </c>
    </row>
    <row r="45" spans="1:15" x14ac:dyDescent="0.3">
      <c r="A45" s="3">
        <v>21016</v>
      </c>
      <c r="B45" s="4">
        <v>45248</v>
      </c>
      <c r="C45" t="s">
        <v>34</v>
      </c>
      <c r="D45" s="5">
        <v>7.375</v>
      </c>
      <c r="E45" s="5">
        <v>68</v>
      </c>
      <c r="F45" s="5">
        <v>67.796610169491515</v>
      </c>
      <c r="G45">
        <v>21.6</v>
      </c>
      <c r="H45" s="3" t="s">
        <v>19</v>
      </c>
      <c r="I45" s="3" t="s">
        <v>16</v>
      </c>
      <c r="J45" s="3" t="s">
        <v>21</v>
      </c>
      <c r="K45" t="s">
        <v>21</v>
      </c>
      <c r="L45" t="s">
        <v>13</v>
      </c>
      <c r="M45" t="str">
        <f t="shared" si="0"/>
        <v>Spain</v>
      </c>
      <c r="N45">
        <f t="shared" si="1"/>
        <v>-967.30000000000007</v>
      </c>
      <c r="O45">
        <f t="shared" si="2"/>
        <v>501.5</v>
      </c>
    </row>
    <row r="46" spans="1:15" x14ac:dyDescent="0.3">
      <c r="A46" s="3">
        <v>21018</v>
      </c>
      <c r="B46" s="4">
        <v>45248</v>
      </c>
      <c r="C46" t="s">
        <v>32</v>
      </c>
      <c r="D46" s="5">
        <v>12.475000000000001</v>
      </c>
      <c r="E46" s="5">
        <v>21</v>
      </c>
      <c r="F46" s="5">
        <v>20.040080160320638</v>
      </c>
      <c r="G46">
        <v>14.25</v>
      </c>
      <c r="H46" s="3" t="s">
        <v>19</v>
      </c>
      <c r="I46" s="3" t="s">
        <v>16</v>
      </c>
      <c r="J46" s="3" t="s">
        <v>21</v>
      </c>
      <c r="K46" t="s">
        <v>21</v>
      </c>
      <c r="L46" t="s">
        <v>13</v>
      </c>
      <c r="M46" t="str">
        <f t="shared" si="0"/>
        <v>Spain</v>
      </c>
      <c r="N46">
        <f t="shared" si="1"/>
        <v>-37.27499999999997</v>
      </c>
      <c r="O46">
        <f t="shared" si="2"/>
        <v>261.97500000000002</v>
      </c>
    </row>
    <row r="47" spans="1:15" x14ac:dyDescent="0.3">
      <c r="A47" s="3">
        <v>21020</v>
      </c>
      <c r="B47" s="4">
        <v>45249</v>
      </c>
      <c r="C47" t="s">
        <v>36</v>
      </c>
      <c r="D47" s="5">
        <v>32.475000000000001</v>
      </c>
      <c r="E47" s="5">
        <v>51</v>
      </c>
      <c r="F47" s="5">
        <v>50.808314087759818</v>
      </c>
      <c r="G47">
        <v>4.4000000000000004</v>
      </c>
      <c r="H47" s="3" t="s">
        <v>19</v>
      </c>
      <c r="I47" s="3" t="s">
        <v>16</v>
      </c>
      <c r="J47" s="3" t="s">
        <v>21</v>
      </c>
      <c r="K47" t="s">
        <v>21</v>
      </c>
      <c r="L47" t="s">
        <v>13</v>
      </c>
      <c r="M47" t="str">
        <f t="shared" si="0"/>
        <v>Spain</v>
      </c>
      <c r="N47">
        <f t="shared" si="1"/>
        <v>1431.825</v>
      </c>
      <c r="O47">
        <f t="shared" si="2"/>
        <v>1656.2250000000001</v>
      </c>
    </row>
    <row r="48" spans="1:15" x14ac:dyDescent="0.3">
      <c r="A48" s="3">
        <v>21022</v>
      </c>
      <c r="B48" s="4">
        <v>45249</v>
      </c>
      <c r="C48" t="s">
        <v>35</v>
      </c>
      <c r="D48" s="5">
        <v>24.875</v>
      </c>
      <c r="E48" s="5">
        <v>21</v>
      </c>
      <c r="F48" s="5">
        <v>20.100502512562819</v>
      </c>
      <c r="G48">
        <v>2.3499999999999996</v>
      </c>
      <c r="H48" s="3" t="s">
        <v>19</v>
      </c>
      <c r="I48" s="3" t="s">
        <v>16</v>
      </c>
      <c r="J48" s="3" t="s">
        <v>24</v>
      </c>
      <c r="K48" t="s">
        <v>24</v>
      </c>
      <c r="L48" t="s">
        <v>15</v>
      </c>
      <c r="M48" t="str">
        <f t="shared" si="0"/>
        <v>Portugal</v>
      </c>
      <c r="N48">
        <f t="shared" si="1"/>
        <v>473.02499999999998</v>
      </c>
      <c r="O48">
        <f t="shared" si="2"/>
        <v>522.375</v>
      </c>
    </row>
    <row r="49" spans="1:15" x14ac:dyDescent="0.3">
      <c r="A49" s="3">
        <v>21024</v>
      </c>
      <c r="B49" s="4">
        <v>45249</v>
      </c>
      <c r="C49" t="s">
        <v>33</v>
      </c>
      <c r="D49" s="5">
        <v>8.7250000000000014</v>
      </c>
      <c r="E49" s="5">
        <v>69</v>
      </c>
      <c r="F49" s="5">
        <v>68.767908309455578</v>
      </c>
      <c r="G49">
        <v>11.25</v>
      </c>
      <c r="H49" s="3" t="s">
        <v>19</v>
      </c>
      <c r="I49" s="3" t="s">
        <v>16</v>
      </c>
      <c r="J49" s="3" t="s">
        <v>24</v>
      </c>
      <c r="K49" t="s">
        <v>24</v>
      </c>
      <c r="L49" t="s">
        <v>15</v>
      </c>
      <c r="M49" t="str">
        <f t="shared" si="0"/>
        <v>Portugal</v>
      </c>
      <c r="N49">
        <f t="shared" si="1"/>
        <v>-174.22499999999991</v>
      </c>
      <c r="O49">
        <f t="shared" si="2"/>
        <v>602.02500000000009</v>
      </c>
    </row>
    <row r="50" spans="1:15" x14ac:dyDescent="0.3">
      <c r="A50" s="3">
        <v>21026</v>
      </c>
      <c r="B50" s="4">
        <v>45249</v>
      </c>
      <c r="C50" t="s">
        <v>34</v>
      </c>
      <c r="D50" s="5">
        <v>7.375</v>
      </c>
      <c r="E50" s="5">
        <v>68</v>
      </c>
      <c r="F50" s="5">
        <v>67.796610169491515</v>
      </c>
      <c r="G50">
        <v>21.6</v>
      </c>
      <c r="H50" s="3" t="s">
        <v>19</v>
      </c>
      <c r="I50" s="3" t="s">
        <v>20</v>
      </c>
      <c r="J50" s="3" t="s">
        <v>24</v>
      </c>
      <c r="K50" t="s">
        <v>24</v>
      </c>
      <c r="L50" t="s">
        <v>15</v>
      </c>
      <c r="M50" t="str">
        <f t="shared" si="0"/>
        <v>Portugal</v>
      </c>
      <c r="N50">
        <f t="shared" si="1"/>
        <v>-967.30000000000007</v>
      </c>
      <c r="O50">
        <f t="shared" si="2"/>
        <v>501.5</v>
      </c>
    </row>
    <row r="51" spans="1:15" x14ac:dyDescent="0.3">
      <c r="A51" s="3">
        <v>21028</v>
      </c>
      <c r="B51" s="4">
        <v>45249</v>
      </c>
      <c r="C51" t="s">
        <v>32</v>
      </c>
      <c r="D51" s="5">
        <v>12.475000000000001</v>
      </c>
      <c r="E51" s="5">
        <v>21</v>
      </c>
      <c r="F51" s="5">
        <v>20.040080160320638</v>
      </c>
      <c r="G51">
        <v>14.25</v>
      </c>
      <c r="H51" s="3" t="s">
        <v>19</v>
      </c>
      <c r="I51" s="3" t="s">
        <v>20</v>
      </c>
      <c r="J51" s="3" t="s">
        <v>24</v>
      </c>
      <c r="K51" t="s">
        <v>24</v>
      </c>
      <c r="L51" t="s">
        <v>15</v>
      </c>
      <c r="M51" t="str">
        <f t="shared" si="0"/>
        <v>Portugal</v>
      </c>
      <c r="N51">
        <f t="shared" si="1"/>
        <v>-37.27499999999997</v>
      </c>
      <c r="O51">
        <f t="shared" si="2"/>
        <v>261.97500000000002</v>
      </c>
    </row>
    <row r="52" spans="1:15" ht="15.6" x14ac:dyDescent="0.3">
      <c r="A52" s="3">
        <v>21030</v>
      </c>
      <c r="B52" s="4">
        <v>45250</v>
      </c>
      <c r="C52" t="s">
        <v>36</v>
      </c>
      <c r="D52" s="5">
        <v>32.475000000000001</v>
      </c>
      <c r="E52" s="5">
        <v>48</v>
      </c>
      <c r="F52" s="5">
        <v>47.729022324865284</v>
      </c>
      <c r="G52">
        <v>4.4000000000000004</v>
      </c>
      <c r="H52" s="3" t="s">
        <v>19</v>
      </c>
      <c r="I52" s="3" t="s">
        <v>20</v>
      </c>
      <c r="J52" s="3" t="s">
        <v>24</v>
      </c>
      <c r="K52" s="6" t="s">
        <v>24</v>
      </c>
      <c r="L52" t="s">
        <v>15</v>
      </c>
      <c r="M52" t="str">
        <f t="shared" si="0"/>
        <v>Portugal</v>
      </c>
      <c r="N52">
        <f t="shared" si="1"/>
        <v>1347.6000000000001</v>
      </c>
      <c r="O52">
        <f t="shared" si="2"/>
        <v>1558.8000000000002</v>
      </c>
    </row>
    <row r="53" spans="1:15" x14ac:dyDescent="0.3">
      <c r="A53" s="3">
        <v>21032</v>
      </c>
      <c r="B53" s="4">
        <v>45250</v>
      </c>
      <c r="C53" t="s">
        <v>35</v>
      </c>
      <c r="D53" s="5">
        <v>24.875</v>
      </c>
      <c r="E53" s="5">
        <v>21</v>
      </c>
      <c r="F53" s="5">
        <v>20.100502512562819</v>
      </c>
      <c r="G53">
        <v>2.3499999999999996</v>
      </c>
      <c r="H53" s="3" t="s">
        <v>19</v>
      </c>
      <c r="I53" s="3" t="s">
        <v>20</v>
      </c>
      <c r="J53" s="3" t="s">
        <v>24</v>
      </c>
      <c r="K53" t="s">
        <v>24</v>
      </c>
      <c r="L53" t="s">
        <v>15</v>
      </c>
      <c r="M53" t="str">
        <f t="shared" si="0"/>
        <v>Portugal</v>
      </c>
      <c r="N53">
        <f t="shared" si="1"/>
        <v>473.02499999999998</v>
      </c>
      <c r="O53">
        <f t="shared" si="2"/>
        <v>522.375</v>
      </c>
    </row>
    <row r="54" spans="1:15" x14ac:dyDescent="0.3">
      <c r="A54" s="3">
        <v>21040</v>
      </c>
      <c r="B54" s="4">
        <v>45251</v>
      </c>
      <c r="C54" t="s">
        <v>36</v>
      </c>
      <c r="D54" s="5">
        <v>32.475000000000001</v>
      </c>
      <c r="E54" s="5">
        <v>50</v>
      </c>
      <c r="F54" s="5">
        <v>49.268668206312547</v>
      </c>
      <c r="G54">
        <v>11.25</v>
      </c>
      <c r="H54" s="3" t="s">
        <v>19</v>
      </c>
      <c r="I54" s="3" t="s">
        <v>20</v>
      </c>
      <c r="J54" s="3" t="s">
        <v>28</v>
      </c>
      <c r="K54" t="s">
        <v>28</v>
      </c>
      <c r="L54" t="s">
        <v>18</v>
      </c>
      <c r="M54" t="str">
        <f t="shared" si="0"/>
        <v>France</v>
      </c>
      <c r="N54">
        <f t="shared" si="1"/>
        <v>1061.25</v>
      </c>
      <c r="O54">
        <f t="shared" si="2"/>
        <v>1623.75</v>
      </c>
    </row>
    <row r="55" spans="1:15" x14ac:dyDescent="0.3">
      <c r="A55" s="3">
        <v>21042</v>
      </c>
      <c r="B55" s="4">
        <v>45251</v>
      </c>
      <c r="C55" t="s">
        <v>35</v>
      </c>
      <c r="D55" s="5">
        <v>24.875</v>
      </c>
      <c r="E55" s="5">
        <v>21</v>
      </c>
      <c r="F55" s="5">
        <v>20.100502512562819</v>
      </c>
      <c r="G55">
        <v>21.6</v>
      </c>
      <c r="H55" s="3" t="s">
        <v>19</v>
      </c>
      <c r="I55" s="3" t="s">
        <v>20</v>
      </c>
      <c r="J55" s="3" t="s">
        <v>28</v>
      </c>
      <c r="K55" t="s">
        <v>28</v>
      </c>
      <c r="L55" t="s">
        <v>18</v>
      </c>
      <c r="M55" t="str">
        <f t="shared" si="0"/>
        <v>France</v>
      </c>
      <c r="N55">
        <f t="shared" si="1"/>
        <v>68.774999999999977</v>
      </c>
      <c r="O55">
        <f t="shared" si="2"/>
        <v>522.375</v>
      </c>
    </row>
    <row r="56" spans="1:15" x14ac:dyDescent="0.3">
      <c r="A56" s="3">
        <v>21044</v>
      </c>
      <c r="B56" s="4">
        <v>45251</v>
      </c>
      <c r="C56" t="s">
        <v>33</v>
      </c>
      <c r="D56" s="5">
        <v>8.7250000000000014</v>
      </c>
      <c r="E56" s="5">
        <v>69</v>
      </c>
      <c r="F56" s="5">
        <v>68.767908309455578</v>
      </c>
      <c r="G56">
        <v>14.25</v>
      </c>
      <c r="H56" s="3" t="s">
        <v>19</v>
      </c>
      <c r="I56" s="3" t="s">
        <v>20</v>
      </c>
      <c r="J56" s="3" t="s">
        <v>28</v>
      </c>
      <c r="K56" t="s">
        <v>28</v>
      </c>
      <c r="L56" t="s">
        <v>18</v>
      </c>
      <c r="M56" t="str">
        <f t="shared" si="0"/>
        <v>France</v>
      </c>
      <c r="N56">
        <f t="shared" si="1"/>
        <v>-381.22499999999991</v>
      </c>
      <c r="O56">
        <f t="shared" si="2"/>
        <v>602.02500000000009</v>
      </c>
    </row>
    <row r="57" spans="1:15" x14ac:dyDescent="0.3">
      <c r="A57" s="3">
        <v>21046</v>
      </c>
      <c r="B57" s="4">
        <v>45251</v>
      </c>
      <c r="C57" t="s">
        <v>34</v>
      </c>
      <c r="D57" s="5">
        <v>7.375</v>
      </c>
      <c r="E57" s="5">
        <v>75</v>
      </c>
      <c r="F57" s="5">
        <v>74.576271186440664</v>
      </c>
      <c r="G57">
        <v>2.3499999999999996</v>
      </c>
      <c r="H57" s="3" t="s">
        <v>19</v>
      </c>
      <c r="I57" s="3" t="s">
        <v>20</v>
      </c>
      <c r="J57" s="3" t="s">
        <v>28</v>
      </c>
      <c r="K57" t="s">
        <v>28</v>
      </c>
      <c r="L57" t="s">
        <v>18</v>
      </c>
      <c r="M57" t="str">
        <f t="shared" si="0"/>
        <v>France</v>
      </c>
      <c r="N57">
        <f t="shared" si="1"/>
        <v>376.875</v>
      </c>
      <c r="O57">
        <f t="shared" si="2"/>
        <v>553.125</v>
      </c>
    </row>
    <row r="58" spans="1:15" x14ac:dyDescent="0.3">
      <c r="A58" s="3">
        <v>21048</v>
      </c>
      <c r="B58" s="4">
        <v>45251</v>
      </c>
      <c r="C58" t="s">
        <v>32</v>
      </c>
      <c r="D58" s="5">
        <v>12.475000000000001</v>
      </c>
      <c r="E58" s="5">
        <v>21</v>
      </c>
      <c r="F58" s="5">
        <v>20.040080160320638</v>
      </c>
      <c r="G58">
        <v>11.25</v>
      </c>
      <c r="H58" s="3" t="s">
        <v>19</v>
      </c>
      <c r="I58" s="3" t="s">
        <v>20</v>
      </c>
      <c r="J58" s="3" t="s">
        <v>28</v>
      </c>
      <c r="K58" t="s">
        <v>28</v>
      </c>
      <c r="L58" t="s">
        <v>18</v>
      </c>
      <c r="M58" t="str">
        <f t="shared" si="0"/>
        <v>France</v>
      </c>
      <c r="N58">
        <f t="shared" si="1"/>
        <v>25.72500000000003</v>
      </c>
      <c r="O58">
        <f t="shared" si="2"/>
        <v>261.97500000000002</v>
      </c>
    </row>
    <row r="59" spans="1:15" x14ac:dyDescent="0.3">
      <c r="A59" s="3">
        <v>21050</v>
      </c>
      <c r="B59" s="4">
        <v>45252</v>
      </c>
      <c r="C59" t="s">
        <v>36</v>
      </c>
      <c r="D59" s="5">
        <v>32.475000000000001</v>
      </c>
      <c r="E59" s="5">
        <v>47</v>
      </c>
      <c r="F59" s="5">
        <v>46.189376443418013</v>
      </c>
      <c r="G59">
        <v>21.6</v>
      </c>
      <c r="H59" s="3" t="s">
        <v>19</v>
      </c>
      <c r="I59" s="3" t="s">
        <v>20</v>
      </c>
      <c r="J59" s="3" t="s">
        <v>28</v>
      </c>
      <c r="K59" t="s">
        <v>28</v>
      </c>
      <c r="L59" t="s">
        <v>18</v>
      </c>
      <c r="M59" t="str">
        <f t="shared" si="0"/>
        <v>France</v>
      </c>
      <c r="N59">
        <f t="shared" si="1"/>
        <v>511.125</v>
      </c>
      <c r="O59">
        <f t="shared" si="2"/>
        <v>1526.325</v>
      </c>
    </row>
    <row r="60" spans="1:15" x14ac:dyDescent="0.3">
      <c r="A60" s="3">
        <v>21052</v>
      </c>
      <c r="B60" s="4">
        <v>45252</v>
      </c>
      <c r="C60" t="s">
        <v>35</v>
      </c>
      <c r="D60" s="5">
        <v>24.875</v>
      </c>
      <c r="E60" s="5">
        <v>21</v>
      </c>
      <c r="F60" s="5">
        <v>20.100502512562819</v>
      </c>
      <c r="G60">
        <v>14.25</v>
      </c>
      <c r="H60" s="3" t="s">
        <v>19</v>
      </c>
      <c r="I60" s="3" t="s">
        <v>20</v>
      </c>
      <c r="J60" s="3" t="s">
        <v>28</v>
      </c>
      <c r="K60" t="s">
        <v>28</v>
      </c>
      <c r="L60" t="s">
        <v>18</v>
      </c>
      <c r="M60" t="str">
        <f t="shared" si="0"/>
        <v>France</v>
      </c>
      <c r="N60">
        <f t="shared" si="1"/>
        <v>223.125</v>
      </c>
      <c r="O60">
        <f t="shared" si="2"/>
        <v>522.375</v>
      </c>
    </row>
    <row r="61" spans="1:15" x14ac:dyDescent="0.3">
      <c r="A61" s="3">
        <v>21054</v>
      </c>
      <c r="B61" s="4">
        <v>45252</v>
      </c>
      <c r="C61" t="s">
        <v>33</v>
      </c>
      <c r="D61" s="5">
        <v>8.7250000000000014</v>
      </c>
      <c r="E61" s="5">
        <v>69</v>
      </c>
      <c r="F61" s="5">
        <v>68.767908309455578</v>
      </c>
      <c r="G61">
        <v>4.4000000000000004</v>
      </c>
      <c r="H61" s="3" t="s">
        <v>19</v>
      </c>
      <c r="I61" s="3" t="s">
        <v>20</v>
      </c>
      <c r="J61" s="3" t="s">
        <v>28</v>
      </c>
      <c r="K61" t="s">
        <v>28</v>
      </c>
      <c r="L61" t="s">
        <v>18</v>
      </c>
      <c r="M61" t="str">
        <f t="shared" si="0"/>
        <v>France</v>
      </c>
      <c r="N61">
        <f t="shared" si="1"/>
        <v>298.42500000000007</v>
      </c>
      <c r="O61">
        <f t="shared" si="2"/>
        <v>602.02500000000009</v>
      </c>
    </row>
    <row r="62" spans="1:15" x14ac:dyDescent="0.3">
      <c r="A62" s="3">
        <v>21056</v>
      </c>
      <c r="B62" s="4">
        <v>45252</v>
      </c>
      <c r="C62" t="s">
        <v>34</v>
      </c>
      <c r="D62" s="5">
        <v>7.375</v>
      </c>
      <c r="E62" s="5">
        <v>75</v>
      </c>
      <c r="F62" s="5">
        <v>74.576271186440664</v>
      </c>
      <c r="G62">
        <v>2.3499999999999996</v>
      </c>
      <c r="H62" s="3" t="s">
        <v>19</v>
      </c>
      <c r="I62" s="3" t="s">
        <v>20</v>
      </c>
      <c r="J62" s="3" t="s">
        <v>28</v>
      </c>
      <c r="K62" t="s">
        <v>28</v>
      </c>
      <c r="L62" t="s">
        <v>18</v>
      </c>
      <c r="M62" t="str">
        <f t="shared" si="0"/>
        <v>France</v>
      </c>
      <c r="N62">
        <f t="shared" si="1"/>
        <v>376.875</v>
      </c>
      <c r="O62">
        <f t="shared" si="2"/>
        <v>553.125</v>
      </c>
    </row>
    <row r="63" spans="1:15" x14ac:dyDescent="0.3">
      <c r="A63" s="3">
        <v>21058</v>
      </c>
      <c r="B63" s="4">
        <v>45252</v>
      </c>
      <c r="C63" t="s">
        <v>32</v>
      </c>
      <c r="D63" s="5">
        <v>12.475000000000001</v>
      </c>
      <c r="E63" s="5">
        <v>21</v>
      </c>
      <c r="F63" s="5">
        <v>20.040080160320638</v>
      </c>
      <c r="G63">
        <v>11.25</v>
      </c>
      <c r="H63" s="3" t="s">
        <v>19</v>
      </c>
      <c r="I63" s="3" t="s">
        <v>20</v>
      </c>
      <c r="J63" s="3" t="s">
        <v>28</v>
      </c>
      <c r="K63" t="s">
        <v>28</v>
      </c>
      <c r="L63" t="s">
        <v>18</v>
      </c>
      <c r="M63" t="str">
        <f t="shared" si="0"/>
        <v>France</v>
      </c>
      <c r="N63">
        <f t="shared" si="1"/>
        <v>25.72500000000003</v>
      </c>
      <c r="O63">
        <f t="shared" si="2"/>
        <v>261.97500000000002</v>
      </c>
    </row>
    <row r="64" spans="1:15" x14ac:dyDescent="0.3">
      <c r="A64" s="3">
        <v>21060</v>
      </c>
      <c r="B64" s="4">
        <v>45253</v>
      </c>
      <c r="C64" t="s">
        <v>36</v>
      </c>
      <c r="D64" s="5">
        <v>32.475000000000001</v>
      </c>
      <c r="E64" s="5">
        <v>48</v>
      </c>
      <c r="F64" s="5">
        <v>47.729022324865284</v>
      </c>
      <c r="G64">
        <v>21.6</v>
      </c>
      <c r="H64" s="3" t="s">
        <v>19</v>
      </c>
      <c r="I64" s="3" t="s">
        <v>20</v>
      </c>
      <c r="J64" s="3" t="s">
        <v>28</v>
      </c>
      <c r="K64" t="s">
        <v>28</v>
      </c>
      <c r="L64" t="s">
        <v>18</v>
      </c>
      <c r="M64" t="str">
        <f t="shared" si="0"/>
        <v>France</v>
      </c>
      <c r="N64">
        <f t="shared" si="1"/>
        <v>522</v>
      </c>
      <c r="O64">
        <f t="shared" si="2"/>
        <v>1558.8000000000002</v>
      </c>
    </row>
    <row r="65" spans="1:15" x14ac:dyDescent="0.3">
      <c r="A65" s="3">
        <v>21062</v>
      </c>
      <c r="B65" s="4">
        <v>45253</v>
      </c>
      <c r="C65" t="s">
        <v>35</v>
      </c>
      <c r="D65" s="5">
        <v>24.875</v>
      </c>
      <c r="E65" s="5">
        <v>21</v>
      </c>
      <c r="F65" s="5">
        <v>20.100502512562819</v>
      </c>
      <c r="G65">
        <v>14.25</v>
      </c>
      <c r="H65" s="3" t="s">
        <v>19</v>
      </c>
      <c r="I65" s="3" t="s">
        <v>20</v>
      </c>
      <c r="J65" s="3" t="s">
        <v>28</v>
      </c>
      <c r="K65" t="s">
        <v>28</v>
      </c>
      <c r="L65" t="s">
        <v>18</v>
      </c>
      <c r="M65" t="str">
        <f t="shared" si="0"/>
        <v>France</v>
      </c>
      <c r="N65">
        <f t="shared" si="1"/>
        <v>223.125</v>
      </c>
      <c r="O65">
        <f t="shared" si="2"/>
        <v>522.375</v>
      </c>
    </row>
    <row r="66" spans="1:15" x14ac:dyDescent="0.3">
      <c r="A66" s="3">
        <v>21064</v>
      </c>
      <c r="B66" s="4">
        <v>45253</v>
      </c>
      <c r="C66" t="s">
        <v>33</v>
      </c>
      <c r="D66" s="5">
        <v>8.7250000000000014</v>
      </c>
      <c r="E66" s="5">
        <v>69</v>
      </c>
      <c r="F66" s="5">
        <v>68.767908309455578</v>
      </c>
      <c r="G66">
        <v>4.4000000000000004</v>
      </c>
      <c r="H66" s="3" t="s">
        <v>19</v>
      </c>
      <c r="I66" s="3" t="s">
        <v>20</v>
      </c>
      <c r="J66" s="3" t="s">
        <v>24</v>
      </c>
      <c r="K66" t="s">
        <v>24</v>
      </c>
      <c r="L66" t="s">
        <v>15</v>
      </c>
      <c r="M66" t="str">
        <f t="shared" ref="M66:M129" si="3">IF(L66="London","UK",
IF(L66="Madrid","Spain",
IF(L66="Paris","France",
IF(L66="Berlin","Germany",
IF(L66="Lisbon","Portugal","")))))</f>
        <v>Portugal</v>
      </c>
      <c r="N66">
        <f t="shared" si="1"/>
        <v>298.42500000000007</v>
      </c>
      <c r="O66">
        <f t="shared" si="2"/>
        <v>602.02500000000009</v>
      </c>
    </row>
    <row r="67" spans="1:15" x14ac:dyDescent="0.3">
      <c r="A67" s="3">
        <v>21066</v>
      </c>
      <c r="B67" s="4">
        <v>45253</v>
      </c>
      <c r="C67" t="s">
        <v>34</v>
      </c>
      <c r="D67" s="5">
        <v>7.375</v>
      </c>
      <c r="E67" s="5">
        <v>75</v>
      </c>
      <c r="F67" s="5">
        <v>74.576271186440664</v>
      </c>
      <c r="G67">
        <v>2.3499999999999996</v>
      </c>
      <c r="H67" s="3" t="s">
        <v>19</v>
      </c>
      <c r="I67" s="3" t="s">
        <v>20</v>
      </c>
      <c r="J67" s="3" t="s">
        <v>24</v>
      </c>
      <c r="K67" t="s">
        <v>24</v>
      </c>
      <c r="L67" t="s">
        <v>15</v>
      </c>
      <c r="M67" t="str">
        <f t="shared" si="3"/>
        <v>Portugal</v>
      </c>
      <c r="N67">
        <f t="shared" ref="N67:N130" si="4">(D67-G67)*E67</f>
        <v>376.875</v>
      </c>
      <c r="O67">
        <f t="shared" ref="O67:O130" si="5">D67*E67</f>
        <v>553.125</v>
      </c>
    </row>
    <row r="68" spans="1:15" x14ac:dyDescent="0.3">
      <c r="A68" s="3">
        <v>21068</v>
      </c>
      <c r="B68" s="4">
        <v>45253</v>
      </c>
      <c r="C68" t="s">
        <v>32</v>
      </c>
      <c r="D68" s="5">
        <v>12.475000000000001</v>
      </c>
      <c r="E68" s="5">
        <v>21</v>
      </c>
      <c r="F68" s="5">
        <v>20.040080160320638</v>
      </c>
      <c r="G68">
        <v>11.25</v>
      </c>
      <c r="H68" s="3" t="s">
        <v>19</v>
      </c>
      <c r="I68" s="3" t="s">
        <v>20</v>
      </c>
      <c r="J68" s="3" t="s">
        <v>21</v>
      </c>
      <c r="K68" t="s">
        <v>21</v>
      </c>
      <c r="L68" t="s">
        <v>13</v>
      </c>
      <c r="M68" t="str">
        <f t="shared" si="3"/>
        <v>Spain</v>
      </c>
      <c r="N68">
        <f t="shared" si="4"/>
        <v>25.72500000000003</v>
      </c>
      <c r="O68">
        <f t="shared" si="5"/>
        <v>261.97500000000002</v>
      </c>
    </row>
    <row r="69" spans="1:15" x14ac:dyDescent="0.3">
      <c r="A69" s="3">
        <v>21070</v>
      </c>
      <c r="B69" s="4">
        <v>45254</v>
      </c>
      <c r="C69" t="s">
        <v>36</v>
      </c>
      <c r="D69" s="5">
        <v>32.475000000000001</v>
      </c>
      <c r="E69" s="5">
        <v>48</v>
      </c>
      <c r="F69" s="5">
        <v>47.729022324865284</v>
      </c>
      <c r="G69">
        <v>21.6</v>
      </c>
      <c r="H69" s="3" t="s">
        <v>19</v>
      </c>
      <c r="I69" s="3" t="s">
        <v>16</v>
      </c>
      <c r="J69" s="3" t="s">
        <v>21</v>
      </c>
      <c r="K69" t="s">
        <v>21</v>
      </c>
      <c r="L69" t="s">
        <v>13</v>
      </c>
      <c r="M69" t="str">
        <f t="shared" si="3"/>
        <v>Spain</v>
      </c>
      <c r="N69">
        <f t="shared" si="4"/>
        <v>522</v>
      </c>
      <c r="O69">
        <f t="shared" si="5"/>
        <v>1558.8000000000002</v>
      </c>
    </row>
    <row r="70" spans="1:15" x14ac:dyDescent="0.3">
      <c r="A70" s="3">
        <v>21072</v>
      </c>
      <c r="B70" s="4">
        <v>45254</v>
      </c>
      <c r="C70" t="s">
        <v>35</v>
      </c>
      <c r="D70" s="5">
        <v>24.875</v>
      </c>
      <c r="E70" s="5">
        <v>21</v>
      </c>
      <c r="F70" s="5">
        <v>20.100502512562819</v>
      </c>
      <c r="G70">
        <v>14.25</v>
      </c>
      <c r="H70" s="3" t="s">
        <v>19</v>
      </c>
      <c r="I70" s="3" t="s">
        <v>16</v>
      </c>
      <c r="J70" s="3" t="s">
        <v>21</v>
      </c>
      <c r="K70" t="s">
        <v>21</v>
      </c>
      <c r="L70" t="s">
        <v>13</v>
      </c>
      <c r="M70" t="str">
        <f t="shared" si="3"/>
        <v>Spain</v>
      </c>
      <c r="N70">
        <f t="shared" si="4"/>
        <v>223.125</v>
      </c>
      <c r="O70">
        <f t="shared" si="5"/>
        <v>522.375</v>
      </c>
    </row>
    <row r="71" spans="1:15" x14ac:dyDescent="0.3">
      <c r="A71" s="3">
        <v>21074</v>
      </c>
      <c r="B71" s="4">
        <v>45254</v>
      </c>
      <c r="C71" t="s">
        <v>33</v>
      </c>
      <c r="D71" s="5">
        <v>8.7250000000000014</v>
      </c>
      <c r="E71" s="5">
        <v>64</v>
      </c>
      <c r="F71" s="5">
        <v>63.03724928366762</v>
      </c>
      <c r="G71">
        <v>4.4000000000000004</v>
      </c>
      <c r="H71" s="3" t="s">
        <v>19</v>
      </c>
      <c r="I71" s="3" t="s">
        <v>16</v>
      </c>
      <c r="J71" s="3" t="s">
        <v>21</v>
      </c>
      <c r="K71" t="s">
        <v>21</v>
      </c>
      <c r="L71" t="s">
        <v>13</v>
      </c>
      <c r="M71" t="str">
        <f t="shared" si="3"/>
        <v>Spain</v>
      </c>
      <c r="N71">
        <f t="shared" si="4"/>
        <v>276.80000000000007</v>
      </c>
      <c r="O71">
        <f t="shared" si="5"/>
        <v>558.40000000000009</v>
      </c>
    </row>
    <row r="72" spans="1:15" x14ac:dyDescent="0.3">
      <c r="A72" s="3">
        <v>21076</v>
      </c>
      <c r="B72" s="4">
        <v>45254</v>
      </c>
      <c r="C72" t="s">
        <v>34</v>
      </c>
      <c r="D72" s="5">
        <v>7.375</v>
      </c>
      <c r="E72" s="5">
        <v>75</v>
      </c>
      <c r="F72" s="5">
        <v>74.576271186440664</v>
      </c>
      <c r="G72">
        <v>2.3499999999999996</v>
      </c>
      <c r="H72" s="3" t="s">
        <v>19</v>
      </c>
      <c r="I72" s="3" t="s">
        <v>16</v>
      </c>
      <c r="J72" s="3" t="s">
        <v>21</v>
      </c>
      <c r="K72" t="s">
        <v>21</v>
      </c>
      <c r="L72" t="s">
        <v>13</v>
      </c>
      <c r="M72" t="str">
        <f t="shared" si="3"/>
        <v>Spain</v>
      </c>
      <c r="N72">
        <f t="shared" si="4"/>
        <v>376.875</v>
      </c>
      <c r="O72">
        <f t="shared" si="5"/>
        <v>553.125</v>
      </c>
    </row>
    <row r="73" spans="1:15" x14ac:dyDescent="0.3">
      <c r="A73" s="3">
        <v>21078</v>
      </c>
      <c r="B73" s="4">
        <v>45254</v>
      </c>
      <c r="C73" t="s">
        <v>32</v>
      </c>
      <c r="D73" s="5">
        <v>12.475000000000001</v>
      </c>
      <c r="E73" s="5">
        <v>21</v>
      </c>
      <c r="F73" s="5">
        <v>20.040080160320638</v>
      </c>
      <c r="G73">
        <v>11.25</v>
      </c>
      <c r="H73" s="3" t="s">
        <v>19</v>
      </c>
      <c r="I73" s="3" t="s">
        <v>16</v>
      </c>
      <c r="J73" s="3" t="s">
        <v>21</v>
      </c>
      <c r="K73" t="s">
        <v>21</v>
      </c>
      <c r="L73" t="s">
        <v>13</v>
      </c>
      <c r="M73" t="str">
        <f t="shared" si="3"/>
        <v>Spain</v>
      </c>
      <c r="N73">
        <f t="shared" si="4"/>
        <v>25.72500000000003</v>
      </c>
      <c r="O73">
        <f t="shared" si="5"/>
        <v>261.97500000000002</v>
      </c>
    </row>
    <row r="74" spans="1:15" x14ac:dyDescent="0.3">
      <c r="A74" s="3">
        <v>21080</v>
      </c>
      <c r="B74" s="4">
        <v>45255</v>
      </c>
      <c r="C74" t="s">
        <v>36</v>
      </c>
      <c r="D74" s="5">
        <v>32.475000000000001</v>
      </c>
      <c r="E74" s="5">
        <v>47</v>
      </c>
      <c r="F74" s="5">
        <v>46.189376443418013</v>
      </c>
      <c r="G74">
        <v>21.6</v>
      </c>
      <c r="H74" s="3" t="s">
        <v>19</v>
      </c>
      <c r="I74" s="3" t="s">
        <v>16</v>
      </c>
      <c r="J74" s="3" t="s">
        <v>21</v>
      </c>
      <c r="K74" t="s">
        <v>21</v>
      </c>
      <c r="L74" t="s">
        <v>13</v>
      </c>
      <c r="M74" t="str">
        <f t="shared" si="3"/>
        <v>Spain</v>
      </c>
      <c r="N74">
        <f t="shared" si="4"/>
        <v>511.125</v>
      </c>
      <c r="O74">
        <f t="shared" si="5"/>
        <v>1526.325</v>
      </c>
    </row>
    <row r="75" spans="1:15" x14ac:dyDescent="0.3">
      <c r="A75" s="3">
        <v>21082</v>
      </c>
      <c r="B75" s="4">
        <v>45255</v>
      </c>
      <c r="C75" t="s">
        <v>35</v>
      </c>
      <c r="D75" s="5">
        <v>24.875</v>
      </c>
      <c r="E75" s="5">
        <v>21</v>
      </c>
      <c r="F75" s="5">
        <v>20.100502512562819</v>
      </c>
      <c r="G75">
        <v>2.3499999999999996</v>
      </c>
      <c r="H75" s="3" t="s">
        <v>19</v>
      </c>
      <c r="I75" s="3" t="s">
        <v>16</v>
      </c>
      <c r="J75" s="3" t="s">
        <v>30</v>
      </c>
      <c r="K75" t="s">
        <v>30</v>
      </c>
      <c r="L75" t="s">
        <v>12</v>
      </c>
      <c r="M75" t="str">
        <f t="shared" si="3"/>
        <v>UK</v>
      </c>
      <c r="N75">
        <f t="shared" si="4"/>
        <v>473.02499999999998</v>
      </c>
      <c r="O75">
        <f t="shared" si="5"/>
        <v>522.375</v>
      </c>
    </row>
    <row r="76" spans="1:15" x14ac:dyDescent="0.3">
      <c r="A76" s="3">
        <v>21084</v>
      </c>
      <c r="B76" s="4">
        <v>45255</v>
      </c>
      <c r="C76" t="s">
        <v>33</v>
      </c>
      <c r="D76" s="5">
        <v>8.7250000000000014</v>
      </c>
      <c r="E76" s="5">
        <v>64</v>
      </c>
      <c r="F76" s="5">
        <v>63.03724928366762</v>
      </c>
      <c r="G76">
        <v>14.25</v>
      </c>
      <c r="H76" s="3" t="s">
        <v>19</v>
      </c>
      <c r="I76" s="3" t="s">
        <v>16</v>
      </c>
      <c r="J76" s="3" t="s">
        <v>30</v>
      </c>
      <c r="K76" t="s">
        <v>30</v>
      </c>
      <c r="L76" t="s">
        <v>12</v>
      </c>
      <c r="M76" t="str">
        <f t="shared" si="3"/>
        <v>UK</v>
      </c>
      <c r="N76">
        <f t="shared" si="4"/>
        <v>-353.59999999999991</v>
      </c>
      <c r="O76">
        <f t="shared" si="5"/>
        <v>558.40000000000009</v>
      </c>
    </row>
    <row r="77" spans="1:15" x14ac:dyDescent="0.3">
      <c r="A77" s="3">
        <v>21086</v>
      </c>
      <c r="B77" s="4">
        <v>45255</v>
      </c>
      <c r="C77" t="s">
        <v>34</v>
      </c>
      <c r="D77" s="5">
        <v>7.375</v>
      </c>
      <c r="E77" s="5">
        <v>75</v>
      </c>
      <c r="F77" s="5">
        <v>74.576271186440664</v>
      </c>
      <c r="G77">
        <v>11.25</v>
      </c>
      <c r="H77" s="3" t="s">
        <v>19</v>
      </c>
      <c r="I77" s="3" t="s">
        <v>16</v>
      </c>
      <c r="J77" s="3" t="s">
        <v>30</v>
      </c>
      <c r="K77" t="s">
        <v>30</v>
      </c>
      <c r="L77" t="s">
        <v>12</v>
      </c>
      <c r="M77" t="str">
        <f t="shared" si="3"/>
        <v>UK</v>
      </c>
      <c r="N77">
        <f t="shared" si="4"/>
        <v>-290.625</v>
      </c>
      <c r="O77">
        <f t="shared" si="5"/>
        <v>553.125</v>
      </c>
    </row>
    <row r="78" spans="1:15" x14ac:dyDescent="0.3">
      <c r="A78" s="3">
        <v>21088</v>
      </c>
      <c r="B78" s="4">
        <v>45255</v>
      </c>
      <c r="C78" t="s">
        <v>32</v>
      </c>
      <c r="D78" s="5">
        <v>12.475000000000001</v>
      </c>
      <c r="E78" s="5">
        <v>21</v>
      </c>
      <c r="F78" s="5">
        <v>20.040080160320638</v>
      </c>
      <c r="G78">
        <v>4.4000000000000004</v>
      </c>
      <c r="H78" s="3" t="s">
        <v>19</v>
      </c>
      <c r="I78" s="3" t="s">
        <v>16</v>
      </c>
      <c r="J78" s="3" t="s">
        <v>30</v>
      </c>
      <c r="K78" t="s">
        <v>30</v>
      </c>
      <c r="L78" t="s">
        <v>12</v>
      </c>
      <c r="M78" t="str">
        <f t="shared" si="3"/>
        <v>UK</v>
      </c>
      <c r="N78">
        <f t="shared" si="4"/>
        <v>169.57500000000002</v>
      </c>
      <c r="O78">
        <f t="shared" si="5"/>
        <v>261.97500000000002</v>
      </c>
    </row>
    <row r="79" spans="1:15" x14ac:dyDescent="0.3">
      <c r="A79" s="3">
        <v>21090</v>
      </c>
      <c r="B79" s="4">
        <v>45256</v>
      </c>
      <c r="C79" t="s">
        <v>36</v>
      </c>
      <c r="D79" s="5">
        <v>32.475000000000001</v>
      </c>
      <c r="E79" s="5">
        <v>45</v>
      </c>
      <c r="F79" s="5">
        <v>44.649730561970742</v>
      </c>
      <c r="G79">
        <v>21.6</v>
      </c>
      <c r="H79" s="3" t="s">
        <v>19</v>
      </c>
      <c r="I79" s="3" t="s">
        <v>16</v>
      </c>
      <c r="J79" s="3" t="s">
        <v>30</v>
      </c>
      <c r="K79" t="s">
        <v>30</v>
      </c>
      <c r="L79" t="s">
        <v>12</v>
      </c>
      <c r="M79" t="str">
        <f t="shared" si="3"/>
        <v>UK</v>
      </c>
      <c r="N79">
        <f t="shared" si="4"/>
        <v>489.375</v>
      </c>
      <c r="O79">
        <f t="shared" si="5"/>
        <v>1461.375</v>
      </c>
    </row>
    <row r="80" spans="1:15" x14ac:dyDescent="0.3">
      <c r="A80" s="3">
        <v>21092</v>
      </c>
      <c r="B80" s="4">
        <v>45256</v>
      </c>
      <c r="C80" t="s">
        <v>35</v>
      </c>
      <c r="D80" s="5">
        <v>24.875</v>
      </c>
      <c r="E80" s="5">
        <v>21</v>
      </c>
      <c r="F80" s="5">
        <v>20.100502512562819</v>
      </c>
      <c r="G80">
        <v>2.3499999999999996</v>
      </c>
      <c r="H80" s="3" t="s">
        <v>19</v>
      </c>
      <c r="I80" s="3" t="s">
        <v>16</v>
      </c>
      <c r="J80" s="3" t="s">
        <v>30</v>
      </c>
      <c r="K80" t="s">
        <v>30</v>
      </c>
      <c r="L80" t="s">
        <v>12</v>
      </c>
      <c r="M80" t="str">
        <f t="shared" si="3"/>
        <v>UK</v>
      </c>
      <c r="N80">
        <f t="shared" si="4"/>
        <v>473.02499999999998</v>
      </c>
      <c r="O80">
        <f t="shared" si="5"/>
        <v>522.375</v>
      </c>
    </row>
    <row r="81" spans="1:15" x14ac:dyDescent="0.3">
      <c r="A81" s="3">
        <v>21094</v>
      </c>
      <c r="B81" s="4">
        <v>45256</v>
      </c>
      <c r="C81" t="s">
        <v>33</v>
      </c>
      <c r="D81" s="5">
        <v>8.7250000000000014</v>
      </c>
      <c r="E81" s="5">
        <v>64</v>
      </c>
      <c r="F81" s="5">
        <v>63.03724928366762</v>
      </c>
      <c r="G81">
        <v>11.25</v>
      </c>
      <c r="H81" s="3" t="s">
        <v>19</v>
      </c>
      <c r="I81" s="3" t="s">
        <v>16</v>
      </c>
      <c r="J81" s="3" t="s">
        <v>30</v>
      </c>
      <c r="K81" t="s">
        <v>30</v>
      </c>
      <c r="L81" t="s">
        <v>12</v>
      </c>
      <c r="M81" t="str">
        <f t="shared" si="3"/>
        <v>UK</v>
      </c>
      <c r="N81">
        <f t="shared" si="4"/>
        <v>-161.59999999999991</v>
      </c>
      <c r="O81">
        <f t="shared" si="5"/>
        <v>558.40000000000009</v>
      </c>
    </row>
    <row r="82" spans="1:15" x14ac:dyDescent="0.3">
      <c r="A82" s="3">
        <v>21096</v>
      </c>
      <c r="B82" s="4">
        <v>45256</v>
      </c>
      <c r="C82" t="s">
        <v>34</v>
      </c>
      <c r="D82" s="5">
        <v>7.375</v>
      </c>
      <c r="E82" s="5">
        <v>75</v>
      </c>
      <c r="F82" s="5">
        <v>74.576271186440664</v>
      </c>
      <c r="G82">
        <v>21.6</v>
      </c>
      <c r="H82" s="3" t="s">
        <v>19</v>
      </c>
      <c r="I82" s="3" t="s">
        <v>16</v>
      </c>
      <c r="J82" s="3" t="s">
        <v>30</v>
      </c>
      <c r="K82" t="s">
        <v>30</v>
      </c>
      <c r="L82" t="s">
        <v>12</v>
      </c>
      <c r="M82" t="str">
        <f t="shared" si="3"/>
        <v>UK</v>
      </c>
      <c r="N82">
        <f t="shared" si="4"/>
        <v>-1066.875</v>
      </c>
      <c r="O82">
        <f t="shared" si="5"/>
        <v>553.125</v>
      </c>
    </row>
    <row r="83" spans="1:15" x14ac:dyDescent="0.3">
      <c r="A83" s="3">
        <v>21098</v>
      </c>
      <c r="B83" s="4">
        <v>45256</v>
      </c>
      <c r="C83" t="s">
        <v>32</v>
      </c>
      <c r="D83" s="5">
        <v>12.475000000000001</v>
      </c>
      <c r="E83" s="5">
        <v>21</v>
      </c>
      <c r="F83" s="5">
        <v>20.040080160320638</v>
      </c>
      <c r="G83">
        <v>14.25</v>
      </c>
      <c r="H83" s="3" t="s">
        <v>19</v>
      </c>
      <c r="I83" s="3" t="s">
        <v>16</v>
      </c>
      <c r="J83" s="3" t="s">
        <v>30</v>
      </c>
      <c r="K83" t="s">
        <v>30</v>
      </c>
      <c r="L83" t="s">
        <v>12</v>
      </c>
      <c r="M83" t="str">
        <f t="shared" si="3"/>
        <v>UK</v>
      </c>
      <c r="N83">
        <f t="shared" si="4"/>
        <v>-37.27499999999997</v>
      </c>
      <c r="O83">
        <f t="shared" si="5"/>
        <v>261.97500000000002</v>
      </c>
    </row>
    <row r="84" spans="1:15" x14ac:dyDescent="0.3">
      <c r="A84" s="3">
        <v>21100</v>
      </c>
      <c r="B84" s="4">
        <v>45257</v>
      </c>
      <c r="C84" t="s">
        <v>36</v>
      </c>
      <c r="D84" s="5">
        <v>32.475000000000001</v>
      </c>
      <c r="E84" s="5">
        <v>47</v>
      </c>
      <c r="F84" s="5">
        <v>46.189376443418013</v>
      </c>
      <c r="G84">
        <v>4.4000000000000004</v>
      </c>
      <c r="H84" s="3" t="s">
        <v>19</v>
      </c>
      <c r="I84" s="3" t="s">
        <v>16</v>
      </c>
      <c r="J84" s="3" t="s">
        <v>30</v>
      </c>
      <c r="K84" t="s">
        <v>30</v>
      </c>
      <c r="L84" t="s">
        <v>12</v>
      </c>
      <c r="M84" t="str">
        <f t="shared" si="3"/>
        <v>UK</v>
      </c>
      <c r="N84">
        <f t="shared" si="4"/>
        <v>1319.5250000000001</v>
      </c>
      <c r="O84">
        <f t="shared" si="5"/>
        <v>1526.325</v>
      </c>
    </row>
    <row r="85" spans="1:15" x14ac:dyDescent="0.3">
      <c r="A85" s="3">
        <v>21102</v>
      </c>
      <c r="B85" s="4">
        <v>45257</v>
      </c>
      <c r="C85" t="s">
        <v>35</v>
      </c>
      <c r="D85" s="5">
        <v>24.875</v>
      </c>
      <c r="E85" s="5">
        <v>21</v>
      </c>
      <c r="F85" s="5">
        <v>20.100502512562819</v>
      </c>
      <c r="G85">
        <v>2.3499999999999996</v>
      </c>
      <c r="H85" s="3" t="s">
        <v>19</v>
      </c>
      <c r="I85" s="3" t="s">
        <v>16</v>
      </c>
      <c r="J85" s="3" t="s">
        <v>30</v>
      </c>
      <c r="K85" t="s">
        <v>30</v>
      </c>
      <c r="L85" t="s">
        <v>12</v>
      </c>
      <c r="M85" t="str">
        <f t="shared" si="3"/>
        <v>UK</v>
      </c>
      <c r="N85">
        <f t="shared" si="4"/>
        <v>473.02499999999998</v>
      </c>
      <c r="O85">
        <f t="shared" si="5"/>
        <v>522.375</v>
      </c>
    </row>
    <row r="86" spans="1:15" x14ac:dyDescent="0.3">
      <c r="A86" s="3">
        <v>21104</v>
      </c>
      <c r="B86" s="4">
        <v>45257</v>
      </c>
      <c r="C86" t="s">
        <v>33</v>
      </c>
      <c r="D86" s="5">
        <v>8.7250000000000014</v>
      </c>
      <c r="E86" s="5">
        <v>64</v>
      </c>
      <c r="F86" s="5">
        <v>63.03724928366762</v>
      </c>
      <c r="G86">
        <v>11.25</v>
      </c>
      <c r="H86" s="3" t="s">
        <v>10</v>
      </c>
      <c r="I86" s="3" t="s">
        <v>16</v>
      </c>
      <c r="J86" s="3" t="s">
        <v>30</v>
      </c>
      <c r="K86" t="s">
        <v>30</v>
      </c>
      <c r="L86" t="s">
        <v>12</v>
      </c>
      <c r="M86" t="str">
        <f t="shared" si="3"/>
        <v>UK</v>
      </c>
      <c r="N86">
        <f t="shared" si="4"/>
        <v>-161.59999999999991</v>
      </c>
      <c r="O86">
        <f t="shared" si="5"/>
        <v>558.40000000000009</v>
      </c>
    </row>
    <row r="87" spans="1:15" x14ac:dyDescent="0.3">
      <c r="A87" s="3">
        <v>21106</v>
      </c>
      <c r="B87" s="4">
        <v>45257</v>
      </c>
      <c r="C87" t="s">
        <v>34</v>
      </c>
      <c r="D87" s="5">
        <v>7.375</v>
      </c>
      <c r="E87" s="5">
        <v>75</v>
      </c>
      <c r="F87" s="5">
        <v>74.576271186440664</v>
      </c>
      <c r="G87">
        <v>21.6</v>
      </c>
      <c r="H87" s="3" t="s">
        <v>10</v>
      </c>
      <c r="I87" s="3" t="s">
        <v>16</v>
      </c>
      <c r="J87" s="3" t="s">
        <v>30</v>
      </c>
      <c r="K87" t="s">
        <v>30</v>
      </c>
      <c r="L87" t="s">
        <v>12</v>
      </c>
      <c r="M87" t="str">
        <f t="shared" si="3"/>
        <v>UK</v>
      </c>
      <c r="N87">
        <f t="shared" si="4"/>
        <v>-1066.875</v>
      </c>
      <c r="O87">
        <f t="shared" si="5"/>
        <v>553.125</v>
      </c>
    </row>
    <row r="88" spans="1:15" x14ac:dyDescent="0.3">
      <c r="A88" s="3">
        <v>21108</v>
      </c>
      <c r="B88" s="4">
        <v>45257</v>
      </c>
      <c r="C88" t="s">
        <v>32</v>
      </c>
      <c r="D88" s="5">
        <v>12.475000000000001</v>
      </c>
      <c r="E88" s="5">
        <v>21</v>
      </c>
      <c r="F88" s="5">
        <v>20.040080160320638</v>
      </c>
      <c r="G88">
        <v>14.25</v>
      </c>
      <c r="H88" s="3" t="s">
        <v>10</v>
      </c>
      <c r="I88" s="3" t="s">
        <v>16</v>
      </c>
      <c r="J88" s="3" t="s">
        <v>30</v>
      </c>
      <c r="K88" t="s">
        <v>30</v>
      </c>
      <c r="L88" t="s">
        <v>12</v>
      </c>
      <c r="M88" t="str">
        <f t="shared" si="3"/>
        <v>UK</v>
      </c>
      <c r="N88">
        <f t="shared" si="4"/>
        <v>-37.27499999999997</v>
      </c>
      <c r="O88">
        <f t="shared" si="5"/>
        <v>261.97500000000002</v>
      </c>
    </row>
    <row r="89" spans="1:15" x14ac:dyDescent="0.3">
      <c r="A89" s="3">
        <v>21110</v>
      </c>
      <c r="B89" s="4">
        <v>45258</v>
      </c>
      <c r="C89" t="s">
        <v>36</v>
      </c>
      <c r="D89" s="5">
        <v>32.475000000000001</v>
      </c>
      <c r="E89" s="5">
        <v>48</v>
      </c>
      <c r="F89" s="5">
        <v>47.729022324865284</v>
      </c>
      <c r="G89">
        <v>4.4000000000000004</v>
      </c>
      <c r="H89" s="3" t="s">
        <v>10</v>
      </c>
      <c r="I89" s="3" t="s">
        <v>16</v>
      </c>
      <c r="J89" s="3" t="s">
        <v>30</v>
      </c>
      <c r="K89" t="s">
        <v>30</v>
      </c>
      <c r="L89" t="s">
        <v>12</v>
      </c>
      <c r="M89" t="str">
        <f t="shared" si="3"/>
        <v>UK</v>
      </c>
      <c r="N89">
        <f t="shared" si="4"/>
        <v>1347.6000000000001</v>
      </c>
      <c r="O89">
        <f t="shared" si="5"/>
        <v>1558.8000000000002</v>
      </c>
    </row>
    <row r="90" spans="1:15" x14ac:dyDescent="0.3">
      <c r="A90" s="3">
        <v>21112</v>
      </c>
      <c r="B90" s="4">
        <v>45258</v>
      </c>
      <c r="C90" t="s">
        <v>35</v>
      </c>
      <c r="D90" s="5">
        <v>24.875</v>
      </c>
      <c r="E90" s="5">
        <v>21</v>
      </c>
      <c r="F90" s="5">
        <v>20.100502512562819</v>
      </c>
      <c r="G90">
        <v>2.3499999999999996</v>
      </c>
      <c r="H90" s="3" t="s">
        <v>10</v>
      </c>
      <c r="I90" s="3" t="s">
        <v>16</v>
      </c>
      <c r="J90" s="3" t="s">
        <v>30</v>
      </c>
      <c r="K90" t="s">
        <v>30</v>
      </c>
      <c r="L90" t="s">
        <v>12</v>
      </c>
      <c r="M90" t="str">
        <f t="shared" si="3"/>
        <v>UK</v>
      </c>
      <c r="N90">
        <f t="shared" si="4"/>
        <v>473.02499999999998</v>
      </c>
      <c r="O90">
        <f t="shared" si="5"/>
        <v>522.375</v>
      </c>
    </row>
    <row r="91" spans="1:15" x14ac:dyDescent="0.3">
      <c r="A91" s="3">
        <v>21114</v>
      </c>
      <c r="B91" s="4">
        <v>45258</v>
      </c>
      <c r="C91" t="s">
        <v>33</v>
      </c>
      <c r="D91" s="5">
        <v>8.7250000000000014</v>
      </c>
      <c r="E91" s="5">
        <v>64</v>
      </c>
      <c r="F91" s="5">
        <v>63.03724928366762</v>
      </c>
      <c r="G91">
        <v>11.25</v>
      </c>
      <c r="H91" s="3" t="s">
        <v>10</v>
      </c>
      <c r="I91" s="3" t="s">
        <v>16</v>
      </c>
      <c r="J91" s="3" t="s">
        <v>30</v>
      </c>
      <c r="K91" t="s">
        <v>30</v>
      </c>
      <c r="L91" t="s">
        <v>12</v>
      </c>
      <c r="M91" t="str">
        <f t="shared" si="3"/>
        <v>UK</v>
      </c>
      <c r="N91">
        <f t="shared" si="4"/>
        <v>-161.59999999999991</v>
      </c>
      <c r="O91">
        <f t="shared" si="5"/>
        <v>558.40000000000009</v>
      </c>
    </row>
    <row r="92" spans="1:15" x14ac:dyDescent="0.3">
      <c r="A92" s="3">
        <v>21116</v>
      </c>
      <c r="B92" s="4">
        <v>45258</v>
      </c>
      <c r="C92" t="s">
        <v>34</v>
      </c>
      <c r="D92" s="5">
        <v>7.375</v>
      </c>
      <c r="E92" s="5">
        <v>68</v>
      </c>
      <c r="F92" s="5">
        <v>67.796610169491515</v>
      </c>
      <c r="G92">
        <v>21.6</v>
      </c>
      <c r="H92" s="3" t="s">
        <v>10</v>
      </c>
      <c r="I92" s="3" t="s">
        <v>16</v>
      </c>
      <c r="J92" s="3" t="s">
        <v>30</v>
      </c>
      <c r="K92" t="s">
        <v>30</v>
      </c>
      <c r="L92" t="s">
        <v>12</v>
      </c>
      <c r="M92" t="str">
        <f t="shared" si="3"/>
        <v>UK</v>
      </c>
      <c r="N92">
        <f t="shared" si="4"/>
        <v>-967.30000000000007</v>
      </c>
      <c r="O92">
        <f t="shared" si="5"/>
        <v>501.5</v>
      </c>
    </row>
    <row r="93" spans="1:15" x14ac:dyDescent="0.3">
      <c r="A93" s="3">
        <v>21118</v>
      </c>
      <c r="B93" s="4">
        <v>45258</v>
      </c>
      <c r="C93" t="s">
        <v>32</v>
      </c>
      <c r="D93" s="5">
        <v>12.475000000000001</v>
      </c>
      <c r="E93" s="5">
        <v>21</v>
      </c>
      <c r="F93" s="5">
        <v>20.040080160320638</v>
      </c>
      <c r="G93">
        <v>14.25</v>
      </c>
      <c r="H93" s="3" t="s">
        <v>10</v>
      </c>
      <c r="I93" s="3" t="s">
        <v>16</v>
      </c>
      <c r="J93" s="3" t="s">
        <v>30</v>
      </c>
      <c r="K93" t="s">
        <v>30</v>
      </c>
      <c r="L93" t="s">
        <v>12</v>
      </c>
      <c r="M93" t="str">
        <f t="shared" si="3"/>
        <v>UK</v>
      </c>
      <c r="N93">
        <f t="shared" si="4"/>
        <v>-37.27499999999997</v>
      </c>
      <c r="O93">
        <f t="shared" si="5"/>
        <v>261.97500000000002</v>
      </c>
    </row>
    <row r="94" spans="1:15" x14ac:dyDescent="0.3">
      <c r="A94" s="3">
        <v>21120</v>
      </c>
      <c r="B94" s="4">
        <v>45259</v>
      </c>
      <c r="C94" t="s">
        <v>36</v>
      </c>
      <c r="D94" s="5">
        <v>32.475000000000001</v>
      </c>
      <c r="E94" s="5">
        <v>48</v>
      </c>
      <c r="F94" s="5">
        <v>47.729022324865284</v>
      </c>
      <c r="G94">
        <v>4.4000000000000004</v>
      </c>
      <c r="H94" s="3" t="s">
        <v>10</v>
      </c>
      <c r="I94" s="3" t="s">
        <v>16</v>
      </c>
      <c r="J94" s="3" t="s">
        <v>30</v>
      </c>
      <c r="K94" t="s">
        <v>30</v>
      </c>
      <c r="L94" t="s">
        <v>12</v>
      </c>
      <c r="M94" t="str">
        <f t="shared" si="3"/>
        <v>UK</v>
      </c>
      <c r="N94">
        <f t="shared" si="4"/>
        <v>1347.6000000000001</v>
      </c>
      <c r="O94">
        <f t="shared" si="5"/>
        <v>1558.8000000000002</v>
      </c>
    </row>
    <row r="95" spans="1:15" x14ac:dyDescent="0.3">
      <c r="A95" s="3">
        <v>21122</v>
      </c>
      <c r="B95" s="4">
        <v>45259</v>
      </c>
      <c r="C95" t="s">
        <v>35</v>
      </c>
      <c r="D95" s="5">
        <v>24.875</v>
      </c>
      <c r="E95" s="5">
        <v>21</v>
      </c>
      <c r="F95" s="5">
        <v>20.100502512562819</v>
      </c>
      <c r="G95">
        <v>2.3499999999999996</v>
      </c>
      <c r="H95" s="3" t="s">
        <v>10</v>
      </c>
      <c r="I95" s="3" t="s">
        <v>16</v>
      </c>
      <c r="J95" s="3" t="s">
        <v>30</v>
      </c>
      <c r="K95" t="s">
        <v>30</v>
      </c>
      <c r="L95" t="s">
        <v>12</v>
      </c>
      <c r="M95" t="str">
        <f t="shared" si="3"/>
        <v>UK</v>
      </c>
      <c r="N95">
        <f t="shared" si="4"/>
        <v>473.02499999999998</v>
      </c>
      <c r="O95">
        <f t="shared" si="5"/>
        <v>522.375</v>
      </c>
    </row>
    <row r="96" spans="1:15" x14ac:dyDescent="0.3">
      <c r="A96" s="3">
        <v>21124</v>
      </c>
      <c r="B96" s="4">
        <v>45259</v>
      </c>
      <c r="C96" t="s">
        <v>33</v>
      </c>
      <c r="D96" s="5">
        <v>8.7250000000000014</v>
      </c>
      <c r="E96" s="5">
        <v>64</v>
      </c>
      <c r="F96" s="5">
        <v>63.03724928366762</v>
      </c>
      <c r="G96">
        <v>11.25</v>
      </c>
      <c r="H96" s="3" t="s">
        <v>10</v>
      </c>
      <c r="I96" s="3" t="s">
        <v>16</v>
      </c>
      <c r="J96" s="3" t="s">
        <v>30</v>
      </c>
      <c r="K96" t="s">
        <v>30</v>
      </c>
      <c r="L96" t="s">
        <v>12</v>
      </c>
      <c r="M96" t="str">
        <f t="shared" si="3"/>
        <v>UK</v>
      </c>
      <c r="N96">
        <f t="shared" si="4"/>
        <v>-161.59999999999991</v>
      </c>
      <c r="O96">
        <f t="shared" si="5"/>
        <v>558.40000000000009</v>
      </c>
    </row>
    <row r="97" spans="1:15" x14ac:dyDescent="0.3">
      <c r="A97" s="3">
        <v>21126</v>
      </c>
      <c r="B97" s="4">
        <v>45259</v>
      </c>
      <c r="C97" t="s">
        <v>34</v>
      </c>
      <c r="D97" s="5">
        <v>7.375</v>
      </c>
      <c r="E97" s="5">
        <v>68</v>
      </c>
      <c r="F97" s="5">
        <v>67.796610169491515</v>
      </c>
      <c r="G97">
        <v>21.6</v>
      </c>
      <c r="H97" s="3" t="s">
        <v>10</v>
      </c>
      <c r="I97" s="3" t="s">
        <v>16</v>
      </c>
      <c r="J97" s="3" t="s">
        <v>30</v>
      </c>
      <c r="K97" t="s">
        <v>30</v>
      </c>
      <c r="L97" t="s">
        <v>12</v>
      </c>
      <c r="M97" t="str">
        <f t="shared" si="3"/>
        <v>UK</v>
      </c>
      <c r="N97">
        <f t="shared" si="4"/>
        <v>-967.30000000000007</v>
      </c>
      <c r="O97">
        <f t="shared" si="5"/>
        <v>501.5</v>
      </c>
    </row>
    <row r="98" spans="1:15" x14ac:dyDescent="0.3">
      <c r="A98" s="3">
        <v>21128</v>
      </c>
      <c r="B98" s="4">
        <v>45259</v>
      </c>
      <c r="C98" t="s">
        <v>32</v>
      </c>
      <c r="D98" s="5">
        <v>12.475000000000001</v>
      </c>
      <c r="E98" s="5">
        <v>21</v>
      </c>
      <c r="F98" s="5">
        <v>20.040080160320638</v>
      </c>
      <c r="G98">
        <v>14.25</v>
      </c>
      <c r="H98" s="3" t="s">
        <v>10</v>
      </c>
      <c r="I98" s="3" t="s">
        <v>16</v>
      </c>
      <c r="J98" s="3" t="s">
        <v>30</v>
      </c>
      <c r="K98" t="s">
        <v>30</v>
      </c>
      <c r="L98" t="s">
        <v>12</v>
      </c>
      <c r="M98" t="str">
        <f t="shared" si="3"/>
        <v>UK</v>
      </c>
      <c r="N98">
        <f t="shared" si="4"/>
        <v>-37.27499999999997</v>
      </c>
      <c r="O98">
        <f t="shared" si="5"/>
        <v>261.97500000000002</v>
      </c>
    </row>
    <row r="99" spans="1:15" x14ac:dyDescent="0.3">
      <c r="A99" s="3">
        <v>21130</v>
      </c>
      <c r="B99" s="4">
        <v>45260</v>
      </c>
      <c r="C99" t="s">
        <v>36</v>
      </c>
      <c r="D99" s="5">
        <v>32.475000000000001</v>
      </c>
      <c r="E99" s="5">
        <v>50</v>
      </c>
      <c r="F99" s="5">
        <v>49.268668206312547</v>
      </c>
      <c r="G99">
        <v>4.4000000000000004</v>
      </c>
      <c r="H99" s="3" t="s">
        <v>10</v>
      </c>
      <c r="I99" s="3" t="s">
        <v>16</v>
      </c>
      <c r="J99" s="3" t="s">
        <v>30</v>
      </c>
      <c r="K99" t="s">
        <v>30</v>
      </c>
      <c r="L99" t="s">
        <v>12</v>
      </c>
      <c r="M99" t="str">
        <f t="shared" si="3"/>
        <v>UK</v>
      </c>
      <c r="N99">
        <f t="shared" si="4"/>
        <v>1403.7500000000002</v>
      </c>
      <c r="O99">
        <f t="shared" si="5"/>
        <v>1623.75</v>
      </c>
    </row>
    <row r="100" spans="1:15" x14ac:dyDescent="0.3">
      <c r="A100" s="3">
        <v>21132</v>
      </c>
      <c r="B100" s="4">
        <v>45260</v>
      </c>
      <c r="C100" t="s">
        <v>35</v>
      </c>
      <c r="D100" s="5">
        <v>24.875</v>
      </c>
      <c r="E100" s="5">
        <v>21</v>
      </c>
      <c r="F100" s="5">
        <v>20.100502512562819</v>
      </c>
      <c r="G100">
        <v>2.3499999999999996</v>
      </c>
      <c r="H100" s="3" t="s">
        <v>10</v>
      </c>
      <c r="I100" s="3" t="s">
        <v>16</v>
      </c>
      <c r="J100" s="3" t="s">
        <v>30</v>
      </c>
      <c r="K100" t="s">
        <v>30</v>
      </c>
      <c r="L100" t="s">
        <v>12</v>
      </c>
      <c r="M100" t="str">
        <f t="shared" si="3"/>
        <v>UK</v>
      </c>
      <c r="N100">
        <f t="shared" si="4"/>
        <v>473.02499999999998</v>
      </c>
      <c r="O100">
        <f t="shared" si="5"/>
        <v>522.375</v>
      </c>
    </row>
    <row r="101" spans="1:15" x14ac:dyDescent="0.3">
      <c r="A101" s="3">
        <v>21134</v>
      </c>
      <c r="B101" s="4">
        <v>45260</v>
      </c>
      <c r="C101" t="s">
        <v>33</v>
      </c>
      <c r="D101" s="5">
        <v>8.7250000000000014</v>
      </c>
      <c r="E101" s="5">
        <v>64</v>
      </c>
      <c r="F101" s="5">
        <v>63.03724928366762</v>
      </c>
      <c r="G101">
        <v>11.25</v>
      </c>
      <c r="H101" s="3" t="s">
        <v>10</v>
      </c>
      <c r="I101" s="3" t="s">
        <v>16</v>
      </c>
      <c r="J101" s="3" t="s">
        <v>30</v>
      </c>
      <c r="K101" t="s">
        <v>30</v>
      </c>
      <c r="L101" t="s">
        <v>12</v>
      </c>
      <c r="M101" t="str">
        <f t="shared" si="3"/>
        <v>UK</v>
      </c>
      <c r="N101">
        <f t="shared" si="4"/>
        <v>-161.59999999999991</v>
      </c>
      <c r="O101">
        <f t="shared" si="5"/>
        <v>558.40000000000009</v>
      </c>
    </row>
    <row r="102" spans="1:15" x14ac:dyDescent="0.3">
      <c r="A102" s="3">
        <v>21136</v>
      </c>
      <c r="B102" s="4">
        <v>45260</v>
      </c>
      <c r="C102" t="s">
        <v>34</v>
      </c>
      <c r="D102" s="5">
        <v>7.375</v>
      </c>
      <c r="E102" s="5">
        <v>68</v>
      </c>
      <c r="F102" s="5">
        <v>67.796610169491515</v>
      </c>
      <c r="G102">
        <v>21.6</v>
      </c>
      <c r="H102" s="3" t="s">
        <v>10</v>
      </c>
      <c r="I102" s="3" t="s">
        <v>16</v>
      </c>
      <c r="J102" s="3" t="s">
        <v>30</v>
      </c>
      <c r="K102" t="s">
        <v>30</v>
      </c>
      <c r="L102" t="s">
        <v>12</v>
      </c>
      <c r="M102" t="str">
        <f t="shared" si="3"/>
        <v>UK</v>
      </c>
      <c r="N102">
        <f t="shared" si="4"/>
        <v>-967.30000000000007</v>
      </c>
      <c r="O102">
        <f t="shared" si="5"/>
        <v>501.5</v>
      </c>
    </row>
    <row r="103" spans="1:15" x14ac:dyDescent="0.3">
      <c r="A103" s="3">
        <v>21138</v>
      </c>
      <c r="B103" s="4">
        <v>45260</v>
      </c>
      <c r="C103" t="s">
        <v>32</v>
      </c>
      <c r="D103" s="5">
        <v>12.475000000000001</v>
      </c>
      <c r="E103" s="5">
        <v>21</v>
      </c>
      <c r="F103" s="5">
        <v>20.040080160320638</v>
      </c>
      <c r="G103">
        <v>14.25</v>
      </c>
      <c r="H103" s="3" t="s">
        <v>10</v>
      </c>
      <c r="I103" s="3" t="s">
        <v>16</v>
      </c>
      <c r="J103" s="3" t="s">
        <v>30</v>
      </c>
      <c r="K103" t="s">
        <v>30</v>
      </c>
      <c r="L103" t="s">
        <v>12</v>
      </c>
      <c r="M103" t="str">
        <f t="shared" si="3"/>
        <v>UK</v>
      </c>
      <c r="N103">
        <f t="shared" si="4"/>
        <v>-37.27499999999997</v>
      </c>
      <c r="O103">
        <f t="shared" si="5"/>
        <v>261.97500000000002</v>
      </c>
    </row>
    <row r="104" spans="1:15" x14ac:dyDescent="0.3">
      <c r="A104" s="3">
        <v>21140</v>
      </c>
      <c r="B104" s="4">
        <v>45261</v>
      </c>
      <c r="C104" t="s">
        <v>36</v>
      </c>
      <c r="D104" s="5">
        <v>32.475000000000001</v>
      </c>
      <c r="E104" s="5">
        <v>50</v>
      </c>
      <c r="F104" s="5">
        <v>49.268668206312547</v>
      </c>
      <c r="G104">
        <v>4.4000000000000004</v>
      </c>
      <c r="H104" s="3" t="s">
        <v>10</v>
      </c>
      <c r="I104" s="3" t="s">
        <v>16</v>
      </c>
      <c r="J104" s="3" t="s">
        <v>30</v>
      </c>
      <c r="K104" t="s">
        <v>30</v>
      </c>
      <c r="L104" t="s">
        <v>12</v>
      </c>
      <c r="M104" t="str">
        <f t="shared" si="3"/>
        <v>UK</v>
      </c>
      <c r="N104">
        <f t="shared" si="4"/>
        <v>1403.7500000000002</v>
      </c>
      <c r="O104">
        <f t="shared" si="5"/>
        <v>1623.75</v>
      </c>
    </row>
    <row r="105" spans="1:15" x14ac:dyDescent="0.3">
      <c r="A105" s="3">
        <v>21142</v>
      </c>
      <c r="B105" s="4">
        <v>45261</v>
      </c>
      <c r="C105" t="s">
        <v>35</v>
      </c>
      <c r="D105" s="5">
        <v>24.875</v>
      </c>
      <c r="E105" s="5">
        <v>21</v>
      </c>
      <c r="F105" s="5">
        <v>20.100502512562819</v>
      </c>
      <c r="G105">
        <v>2.3499999999999996</v>
      </c>
      <c r="H105" s="3" t="s">
        <v>10</v>
      </c>
      <c r="I105" s="3" t="s">
        <v>16</v>
      </c>
      <c r="J105" s="3" t="s">
        <v>30</v>
      </c>
      <c r="K105" t="s">
        <v>30</v>
      </c>
      <c r="L105" t="s">
        <v>12</v>
      </c>
      <c r="M105" t="str">
        <f t="shared" si="3"/>
        <v>UK</v>
      </c>
      <c r="N105">
        <f t="shared" si="4"/>
        <v>473.02499999999998</v>
      </c>
      <c r="O105">
        <f t="shared" si="5"/>
        <v>522.375</v>
      </c>
    </row>
    <row r="106" spans="1:15" x14ac:dyDescent="0.3">
      <c r="A106" s="3">
        <v>21144</v>
      </c>
      <c r="B106" s="4">
        <v>45261</v>
      </c>
      <c r="C106" t="s">
        <v>33</v>
      </c>
      <c r="D106" s="5">
        <v>8.7250000000000014</v>
      </c>
      <c r="E106" s="5">
        <v>58</v>
      </c>
      <c r="F106" s="5">
        <v>57.306590257879648</v>
      </c>
      <c r="G106">
        <v>11.25</v>
      </c>
      <c r="H106" s="3" t="s">
        <v>10</v>
      </c>
      <c r="I106" s="3" t="s">
        <v>16</v>
      </c>
      <c r="J106" s="3" t="s">
        <v>28</v>
      </c>
      <c r="K106" t="s">
        <v>28</v>
      </c>
      <c r="L106" t="s">
        <v>18</v>
      </c>
      <c r="M106" t="str">
        <f t="shared" si="3"/>
        <v>France</v>
      </c>
      <c r="N106">
        <f t="shared" si="4"/>
        <v>-146.44999999999993</v>
      </c>
      <c r="O106">
        <f t="shared" si="5"/>
        <v>506.05000000000007</v>
      </c>
    </row>
    <row r="107" spans="1:15" x14ac:dyDescent="0.3">
      <c r="A107" s="3">
        <v>21146</v>
      </c>
      <c r="B107" s="4">
        <v>45261</v>
      </c>
      <c r="C107" t="s">
        <v>34</v>
      </c>
      <c r="D107" s="5">
        <v>7.375</v>
      </c>
      <c r="E107" s="5">
        <v>68</v>
      </c>
      <c r="F107" s="5">
        <v>67.796610169491515</v>
      </c>
      <c r="G107">
        <v>21.6</v>
      </c>
      <c r="H107" s="3" t="s">
        <v>10</v>
      </c>
      <c r="I107" s="3" t="s">
        <v>16</v>
      </c>
      <c r="J107" s="3" t="s">
        <v>28</v>
      </c>
      <c r="K107" t="s">
        <v>28</v>
      </c>
      <c r="L107" t="s">
        <v>18</v>
      </c>
      <c r="M107" t="str">
        <f t="shared" si="3"/>
        <v>France</v>
      </c>
      <c r="N107">
        <f t="shared" si="4"/>
        <v>-967.30000000000007</v>
      </c>
      <c r="O107">
        <f t="shared" si="5"/>
        <v>501.5</v>
      </c>
    </row>
    <row r="108" spans="1:15" x14ac:dyDescent="0.3">
      <c r="A108" s="3">
        <v>21148</v>
      </c>
      <c r="B108" s="4">
        <v>45261</v>
      </c>
      <c r="C108" t="s">
        <v>32</v>
      </c>
      <c r="D108" s="5">
        <v>12.475000000000001</v>
      </c>
      <c r="E108" s="5">
        <v>21</v>
      </c>
      <c r="F108" s="5">
        <v>20.040080160320638</v>
      </c>
      <c r="G108">
        <v>14.25</v>
      </c>
      <c r="H108" s="3" t="s">
        <v>10</v>
      </c>
      <c r="I108" s="3" t="s">
        <v>16</v>
      </c>
      <c r="J108" s="3" t="s">
        <v>28</v>
      </c>
      <c r="K108" t="s">
        <v>28</v>
      </c>
      <c r="L108" t="s">
        <v>18</v>
      </c>
      <c r="M108" t="str">
        <f t="shared" si="3"/>
        <v>France</v>
      </c>
      <c r="N108">
        <f t="shared" si="4"/>
        <v>-37.27499999999997</v>
      </c>
      <c r="O108">
        <f t="shared" si="5"/>
        <v>261.97500000000002</v>
      </c>
    </row>
    <row r="109" spans="1:15" x14ac:dyDescent="0.3">
      <c r="A109" s="3">
        <v>21150</v>
      </c>
      <c r="B109" s="4">
        <v>45262</v>
      </c>
      <c r="C109" t="s">
        <v>36</v>
      </c>
      <c r="D109" s="5">
        <v>32.475000000000001</v>
      </c>
      <c r="E109" s="5">
        <v>53</v>
      </c>
      <c r="F109" s="5">
        <v>52.347959969207082</v>
      </c>
      <c r="G109">
        <v>4.4000000000000004</v>
      </c>
      <c r="H109" s="3" t="s">
        <v>10</v>
      </c>
      <c r="I109" s="3" t="s">
        <v>16</v>
      </c>
      <c r="J109" s="3" t="s">
        <v>28</v>
      </c>
      <c r="K109" t="s">
        <v>28</v>
      </c>
      <c r="L109" t="s">
        <v>18</v>
      </c>
      <c r="M109" t="str">
        <f t="shared" si="3"/>
        <v>France</v>
      </c>
      <c r="N109">
        <f t="shared" si="4"/>
        <v>1487.9750000000001</v>
      </c>
      <c r="O109">
        <f t="shared" si="5"/>
        <v>1721.1750000000002</v>
      </c>
    </row>
    <row r="110" spans="1:15" x14ac:dyDescent="0.3">
      <c r="A110" s="3">
        <v>21152</v>
      </c>
      <c r="B110" s="4">
        <v>45262</v>
      </c>
      <c r="C110" t="s">
        <v>35</v>
      </c>
      <c r="D110" s="5">
        <v>24.875</v>
      </c>
      <c r="E110" s="5">
        <v>21</v>
      </c>
      <c r="F110" s="5">
        <v>20.100502512562819</v>
      </c>
      <c r="G110">
        <v>2.3499999999999996</v>
      </c>
      <c r="H110" s="3" t="s">
        <v>10</v>
      </c>
      <c r="I110" s="3" t="s">
        <v>16</v>
      </c>
      <c r="J110" s="3" t="s">
        <v>28</v>
      </c>
      <c r="K110" t="s">
        <v>28</v>
      </c>
      <c r="L110" t="s">
        <v>18</v>
      </c>
      <c r="M110" t="str">
        <f t="shared" si="3"/>
        <v>France</v>
      </c>
      <c r="N110">
        <f t="shared" si="4"/>
        <v>473.02499999999998</v>
      </c>
      <c r="O110">
        <f t="shared" si="5"/>
        <v>522.375</v>
      </c>
    </row>
    <row r="111" spans="1:15" x14ac:dyDescent="0.3">
      <c r="A111" s="3">
        <v>21154</v>
      </c>
      <c r="B111" s="4">
        <v>45262</v>
      </c>
      <c r="C111" t="s">
        <v>33</v>
      </c>
      <c r="D111" s="5">
        <v>8.7250000000000014</v>
      </c>
      <c r="E111" s="5">
        <v>64</v>
      </c>
      <c r="F111" s="5">
        <v>63.03724928366762</v>
      </c>
      <c r="G111">
        <v>11.25</v>
      </c>
      <c r="H111" s="3" t="s">
        <v>10</v>
      </c>
      <c r="I111" s="3" t="s">
        <v>16</v>
      </c>
      <c r="J111" s="3" t="s">
        <v>28</v>
      </c>
      <c r="K111" t="s">
        <v>28</v>
      </c>
      <c r="L111" t="s">
        <v>18</v>
      </c>
      <c r="M111" t="str">
        <f t="shared" si="3"/>
        <v>France</v>
      </c>
      <c r="N111">
        <f t="shared" si="4"/>
        <v>-161.59999999999991</v>
      </c>
      <c r="O111">
        <f t="shared" si="5"/>
        <v>558.40000000000009</v>
      </c>
    </row>
    <row r="112" spans="1:15" x14ac:dyDescent="0.3">
      <c r="A112" s="3">
        <v>21156</v>
      </c>
      <c r="B112" s="4">
        <v>45262</v>
      </c>
      <c r="C112" t="s">
        <v>34</v>
      </c>
      <c r="D112" s="5">
        <v>7.375</v>
      </c>
      <c r="E112" s="5">
        <v>68</v>
      </c>
      <c r="F112" s="5">
        <v>67.796610169491515</v>
      </c>
      <c r="G112">
        <v>21.6</v>
      </c>
      <c r="H112" s="3" t="s">
        <v>10</v>
      </c>
      <c r="I112" s="3" t="s">
        <v>16</v>
      </c>
      <c r="J112" s="3" t="s">
        <v>28</v>
      </c>
      <c r="K112" t="s">
        <v>28</v>
      </c>
      <c r="L112" t="s">
        <v>18</v>
      </c>
      <c r="M112" t="str">
        <f t="shared" si="3"/>
        <v>France</v>
      </c>
      <c r="N112">
        <f t="shared" si="4"/>
        <v>-967.30000000000007</v>
      </c>
      <c r="O112">
        <f t="shared" si="5"/>
        <v>501.5</v>
      </c>
    </row>
    <row r="113" spans="1:15" x14ac:dyDescent="0.3">
      <c r="A113" s="3">
        <v>21158</v>
      </c>
      <c r="B113" s="4">
        <v>45262</v>
      </c>
      <c r="C113" t="s">
        <v>32</v>
      </c>
      <c r="D113" s="5">
        <v>12.475000000000001</v>
      </c>
      <c r="E113" s="5">
        <v>21</v>
      </c>
      <c r="F113" s="5">
        <v>20.040080160320638</v>
      </c>
      <c r="G113">
        <v>14.25</v>
      </c>
      <c r="H113" s="3" t="s">
        <v>10</v>
      </c>
      <c r="I113" s="3" t="s">
        <v>16</v>
      </c>
      <c r="J113" s="3" t="s">
        <v>28</v>
      </c>
      <c r="K113" t="s">
        <v>28</v>
      </c>
      <c r="L113" t="s">
        <v>18</v>
      </c>
      <c r="M113" t="str">
        <f t="shared" si="3"/>
        <v>France</v>
      </c>
      <c r="N113">
        <f t="shared" si="4"/>
        <v>-37.27499999999997</v>
      </c>
      <c r="O113">
        <f t="shared" si="5"/>
        <v>261.97500000000002</v>
      </c>
    </row>
    <row r="114" spans="1:15" x14ac:dyDescent="0.3">
      <c r="A114" s="3">
        <v>21160</v>
      </c>
      <c r="B114" s="4">
        <v>45263</v>
      </c>
      <c r="C114" t="s">
        <v>36</v>
      </c>
      <c r="D114" s="5">
        <v>32.475000000000001</v>
      </c>
      <c r="E114" s="5">
        <v>53</v>
      </c>
      <c r="F114" s="5">
        <v>52.347959969207082</v>
      </c>
      <c r="G114">
        <v>4.4000000000000004</v>
      </c>
      <c r="H114" s="3" t="s">
        <v>10</v>
      </c>
      <c r="I114" s="3" t="s">
        <v>16</v>
      </c>
      <c r="J114" s="3" t="s">
        <v>28</v>
      </c>
      <c r="K114" t="s">
        <v>28</v>
      </c>
      <c r="L114" t="s">
        <v>18</v>
      </c>
      <c r="M114" t="str">
        <f t="shared" si="3"/>
        <v>France</v>
      </c>
      <c r="N114">
        <f t="shared" si="4"/>
        <v>1487.9750000000001</v>
      </c>
      <c r="O114">
        <f t="shared" si="5"/>
        <v>1721.1750000000002</v>
      </c>
    </row>
    <row r="115" spans="1:15" x14ac:dyDescent="0.3">
      <c r="A115" s="3">
        <v>21162</v>
      </c>
      <c r="B115" s="4">
        <v>45263</v>
      </c>
      <c r="C115" t="s">
        <v>35</v>
      </c>
      <c r="D115" s="5">
        <v>24.875</v>
      </c>
      <c r="E115" s="5">
        <v>21</v>
      </c>
      <c r="F115" s="5">
        <v>20.100502512562819</v>
      </c>
      <c r="G115">
        <v>2.3499999999999996</v>
      </c>
      <c r="H115" s="3" t="s">
        <v>10</v>
      </c>
      <c r="I115" s="3" t="s">
        <v>16</v>
      </c>
      <c r="J115" s="3" t="s">
        <v>28</v>
      </c>
      <c r="K115" t="s">
        <v>28</v>
      </c>
      <c r="L115" t="s">
        <v>18</v>
      </c>
      <c r="M115" t="str">
        <f t="shared" si="3"/>
        <v>France</v>
      </c>
      <c r="N115">
        <f t="shared" si="4"/>
        <v>473.02499999999998</v>
      </c>
      <c r="O115">
        <f t="shared" si="5"/>
        <v>522.375</v>
      </c>
    </row>
    <row r="116" spans="1:15" x14ac:dyDescent="0.3">
      <c r="A116" s="3">
        <v>21164</v>
      </c>
      <c r="B116" s="4">
        <v>45263</v>
      </c>
      <c r="C116" t="s">
        <v>33</v>
      </c>
      <c r="D116" s="5">
        <v>8.7250000000000014</v>
      </c>
      <c r="E116" s="5">
        <v>64</v>
      </c>
      <c r="F116" s="5">
        <v>63.03724928366762</v>
      </c>
      <c r="G116">
        <v>11.25</v>
      </c>
      <c r="H116" s="3" t="s">
        <v>10</v>
      </c>
      <c r="I116" s="3" t="s">
        <v>16</v>
      </c>
      <c r="J116" s="3" t="s">
        <v>30</v>
      </c>
      <c r="K116" t="s">
        <v>30</v>
      </c>
      <c r="L116" t="s">
        <v>12</v>
      </c>
      <c r="M116" t="str">
        <f t="shared" si="3"/>
        <v>UK</v>
      </c>
      <c r="N116">
        <f t="shared" si="4"/>
        <v>-161.59999999999991</v>
      </c>
      <c r="O116">
        <f t="shared" si="5"/>
        <v>558.40000000000009</v>
      </c>
    </row>
    <row r="117" spans="1:15" x14ac:dyDescent="0.3">
      <c r="A117" s="3">
        <v>21166</v>
      </c>
      <c r="B117" s="4">
        <v>45263</v>
      </c>
      <c r="C117" t="s">
        <v>34</v>
      </c>
      <c r="D117" s="5">
        <v>7.375</v>
      </c>
      <c r="E117" s="5">
        <v>68</v>
      </c>
      <c r="F117" s="5">
        <v>67.796610169491515</v>
      </c>
      <c r="G117">
        <v>21.6</v>
      </c>
      <c r="H117" s="3" t="s">
        <v>10</v>
      </c>
      <c r="I117" s="3" t="s">
        <v>16</v>
      </c>
      <c r="J117" s="3" t="s">
        <v>30</v>
      </c>
      <c r="K117" t="s">
        <v>30</v>
      </c>
      <c r="L117" t="s">
        <v>12</v>
      </c>
      <c r="M117" t="str">
        <f t="shared" si="3"/>
        <v>UK</v>
      </c>
      <c r="N117">
        <f t="shared" si="4"/>
        <v>-967.30000000000007</v>
      </c>
      <c r="O117">
        <f t="shared" si="5"/>
        <v>501.5</v>
      </c>
    </row>
    <row r="118" spans="1:15" x14ac:dyDescent="0.3">
      <c r="A118" s="3">
        <v>21168</v>
      </c>
      <c r="B118" s="4">
        <v>45263</v>
      </c>
      <c r="C118" t="s">
        <v>32</v>
      </c>
      <c r="D118" s="5">
        <v>12.475000000000001</v>
      </c>
      <c r="E118" s="5">
        <v>21</v>
      </c>
      <c r="F118" s="5">
        <v>20.040080160320638</v>
      </c>
      <c r="G118">
        <v>14.25</v>
      </c>
      <c r="H118" s="3" t="s">
        <v>10</v>
      </c>
      <c r="I118" s="3" t="s">
        <v>16</v>
      </c>
      <c r="J118" s="3" t="s">
        <v>30</v>
      </c>
      <c r="K118" t="s">
        <v>30</v>
      </c>
      <c r="L118" t="s">
        <v>12</v>
      </c>
      <c r="M118" t="str">
        <f t="shared" si="3"/>
        <v>UK</v>
      </c>
      <c r="N118">
        <f t="shared" si="4"/>
        <v>-37.27499999999997</v>
      </c>
      <c r="O118">
        <f t="shared" si="5"/>
        <v>261.97500000000002</v>
      </c>
    </row>
    <row r="119" spans="1:15" x14ac:dyDescent="0.3">
      <c r="A119" s="3">
        <v>21170</v>
      </c>
      <c r="B119" s="4">
        <v>45264</v>
      </c>
      <c r="C119" t="s">
        <v>36</v>
      </c>
      <c r="D119" s="5">
        <v>32.475000000000001</v>
      </c>
      <c r="E119" s="5">
        <v>54</v>
      </c>
      <c r="F119" s="5">
        <v>53.887605850654346</v>
      </c>
      <c r="G119">
        <v>4.4000000000000004</v>
      </c>
      <c r="H119" s="3" t="s">
        <v>10</v>
      </c>
      <c r="I119" s="3" t="s">
        <v>16</v>
      </c>
      <c r="J119" s="3" t="s">
        <v>30</v>
      </c>
      <c r="K119" t="s">
        <v>30</v>
      </c>
      <c r="L119" t="s">
        <v>12</v>
      </c>
      <c r="M119" t="str">
        <f t="shared" si="3"/>
        <v>UK</v>
      </c>
      <c r="N119">
        <f t="shared" si="4"/>
        <v>1516.0500000000002</v>
      </c>
      <c r="O119">
        <f t="shared" si="5"/>
        <v>1753.65</v>
      </c>
    </row>
    <row r="120" spans="1:15" x14ac:dyDescent="0.3">
      <c r="A120" s="3">
        <v>21172</v>
      </c>
      <c r="B120" s="4">
        <v>45264</v>
      </c>
      <c r="C120" t="s">
        <v>35</v>
      </c>
      <c r="D120" s="5">
        <v>24.875</v>
      </c>
      <c r="E120" s="5">
        <v>21</v>
      </c>
      <c r="F120" s="5">
        <v>20.100502512562819</v>
      </c>
      <c r="G120">
        <v>2.3499999999999996</v>
      </c>
      <c r="H120" s="3" t="s">
        <v>10</v>
      </c>
      <c r="I120" s="3" t="s">
        <v>16</v>
      </c>
      <c r="J120" s="3" t="s">
        <v>30</v>
      </c>
      <c r="K120" t="s">
        <v>30</v>
      </c>
      <c r="L120" t="s">
        <v>12</v>
      </c>
      <c r="M120" t="str">
        <f t="shared" si="3"/>
        <v>UK</v>
      </c>
      <c r="N120">
        <f t="shared" si="4"/>
        <v>473.02499999999998</v>
      </c>
      <c r="O120">
        <f t="shared" si="5"/>
        <v>522.375</v>
      </c>
    </row>
    <row r="121" spans="1:15" x14ac:dyDescent="0.3">
      <c r="A121" s="3">
        <v>21180</v>
      </c>
      <c r="B121" s="4">
        <v>45265</v>
      </c>
      <c r="C121" t="s">
        <v>36</v>
      </c>
      <c r="D121" s="5">
        <v>32.475000000000001</v>
      </c>
      <c r="E121" s="5">
        <v>56</v>
      </c>
      <c r="F121" s="5">
        <v>55.427251732101617</v>
      </c>
      <c r="G121">
        <v>11.25</v>
      </c>
      <c r="H121" s="3" t="s">
        <v>10</v>
      </c>
      <c r="I121" s="3" t="s">
        <v>16</v>
      </c>
      <c r="J121" s="3" t="s">
        <v>30</v>
      </c>
      <c r="K121" t="s">
        <v>30</v>
      </c>
      <c r="L121" t="s">
        <v>12</v>
      </c>
      <c r="M121" t="str">
        <f t="shared" si="3"/>
        <v>UK</v>
      </c>
      <c r="N121">
        <f t="shared" si="4"/>
        <v>1188.6000000000001</v>
      </c>
      <c r="O121">
        <f t="shared" si="5"/>
        <v>1818.6000000000001</v>
      </c>
    </row>
    <row r="122" spans="1:15" x14ac:dyDescent="0.3">
      <c r="A122" s="3">
        <v>21182</v>
      </c>
      <c r="B122" s="4">
        <v>45265</v>
      </c>
      <c r="C122" t="s">
        <v>35</v>
      </c>
      <c r="D122" s="5">
        <v>24.875</v>
      </c>
      <c r="E122" s="5">
        <v>21</v>
      </c>
      <c r="F122" s="5">
        <v>20.100502512562819</v>
      </c>
      <c r="G122">
        <v>21.6</v>
      </c>
      <c r="H122" s="3" t="s">
        <v>10</v>
      </c>
      <c r="I122" s="3" t="s">
        <v>16</v>
      </c>
      <c r="J122" s="3" t="s">
        <v>30</v>
      </c>
      <c r="K122" t="s">
        <v>30</v>
      </c>
      <c r="L122" t="s">
        <v>12</v>
      </c>
      <c r="M122" t="str">
        <f t="shared" si="3"/>
        <v>UK</v>
      </c>
      <c r="N122">
        <f t="shared" si="4"/>
        <v>68.774999999999977</v>
      </c>
      <c r="O122">
        <f t="shared" si="5"/>
        <v>522.375</v>
      </c>
    </row>
    <row r="123" spans="1:15" x14ac:dyDescent="0.3">
      <c r="A123" s="3">
        <v>21184</v>
      </c>
      <c r="B123" s="4">
        <v>45265</v>
      </c>
      <c r="C123" t="s">
        <v>33</v>
      </c>
      <c r="D123" s="5">
        <v>8.7250000000000014</v>
      </c>
      <c r="E123" s="5">
        <v>58</v>
      </c>
      <c r="F123" s="5">
        <v>57.306590257879648</v>
      </c>
      <c r="G123">
        <v>14.25</v>
      </c>
      <c r="H123" s="3" t="s">
        <v>10</v>
      </c>
      <c r="I123" s="3" t="s">
        <v>16</v>
      </c>
      <c r="J123" s="3" t="s">
        <v>30</v>
      </c>
      <c r="K123" t="s">
        <v>30</v>
      </c>
      <c r="L123" t="s">
        <v>12</v>
      </c>
      <c r="M123" t="str">
        <f t="shared" si="3"/>
        <v>UK</v>
      </c>
      <c r="N123">
        <f t="shared" si="4"/>
        <v>-320.44999999999993</v>
      </c>
      <c r="O123">
        <f t="shared" si="5"/>
        <v>506.05000000000007</v>
      </c>
    </row>
    <row r="124" spans="1:15" x14ac:dyDescent="0.3">
      <c r="A124" s="3">
        <v>21186</v>
      </c>
      <c r="B124" s="4">
        <v>45265</v>
      </c>
      <c r="C124" t="s">
        <v>34</v>
      </c>
      <c r="D124" s="5">
        <v>7.375</v>
      </c>
      <c r="E124" s="5">
        <v>68</v>
      </c>
      <c r="F124" s="5">
        <v>67.796610169491515</v>
      </c>
      <c r="G124">
        <v>21.6</v>
      </c>
      <c r="H124" s="3" t="s">
        <v>10</v>
      </c>
      <c r="I124" s="3" t="s">
        <v>16</v>
      </c>
      <c r="J124" s="3" t="s">
        <v>30</v>
      </c>
      <c r="K124" t="s">
        <v>30</v>
      </c>
      <c r="L124" t="s">
        <v>12</v>
      </c>
      <c r="M124" t="str">
        <f t="shared" si="3"/>
        <v>UK</v>
      </c>
      <c r="N124">
        <f t="shared" si="4"/>
        <v>-967.30000000000007</v>
      </c>
      <c r="O124">
        <f t="shared" si="5"/>
        <v>501.5</v>
      </c>
    </row>
    <row r="125" spans="1:15" x14ac:dyDescent="0.3">
      <c r="A125" s="3">
        <v>21188</v>
      </c>
      <c r="B125" s="4">
        <v>45265</v>
      </c>
      <c r="C125" t="s">
        <v>32</v>
      </c>
      <c r="D125" s="5">
        <v>12.475000000000001</v>
      </c>
      <c r="E125" s="5">
        <v>21</v>
      </c>
      <c r="F125" s="5">
        <v>20.040080160320638</v>
      </c>
      <c r="G125">
        <v>14.25</v>
      </c>
      <c r="H125" s="3" t="s">
        <v>10</v>
      </c>
      <c r="I125" s="3" t="s">
        <v>16</v>
      </c>
      <c r="J125" s="3" t="s">
        <v>30</v>
      </c>
      <c r="K125" t="s">
        <v>30</v>
      </c>
      <c r="L125" t="s">
        <v>12</v>
      </c>
      <c r="M125" t="str">
        <f t="shared" si="3"/>
        <v>UK</v>
      </c>
      <c r="N125">
        <f t="shared" si="4"/>
        <v>-37.27499999999997</v>
      </c>
      <c r="O125">
        <f t="shared" si="5"/>
        <v>261.97500000000002</v>
      </c>
    </row>
    <row r="126" spans="1:15" x14ac:dyDescent="0.3">
      <c r="A126" s="3">
        <v>21190</v>
      </c>
      <c r="B126" s="4">
        <v>45266</v>
      </c>
      <c r="C126" t="s">
        <v>36</v>
      </c>
      <c r="D126" s="5">
        <v>32.475000000000001</v>
      </c>
      <c r="E126" s="5">
        <v>54</v>
      </c>
      <c r="F126" s="5">
        <v>53.887605850654346</v>
      </c>
      <c r="G126">
        <v>4.4000000000000004</v>
      </c>
      <c r="H126" s="3" t="s">
        <v>10</v>
      </c>
      <c r="I126" s="3" t="s">
        <v>16</v>
      </c>
      <c r="J126" s="3" t="s">
        <v>30</v>
      </c>
      <c r="K126" t="s">
        <v>30</v>
      </c>
      <c r="L126" t="s">
        <v>12</v>
      </c>
      <c r="M126" t="str">
        <f t="shared" si="3"/>
        <v>UK</v>
      </c>
      <c r="N126">
        <f t="shared" si="4"/>
        <v>1516.0500000000002</v>
      </c>
      <c r="O126">
        <f t="shared" si="5"/>
        <v>1753.65</v>
      </c>
    </row>
    <row r="127" spans="1:15" x14ac:dyDescent="0.3">
      <c r="A127" s="3">
        <v>21192</v>
      </c>
      <c r="B127" s="4">
        <v>45266</v>
      </c>
      <c r="C127" t="s">
        <v>35</v>
      </c>
      <c r="D127" s="5">
        <v>24.875</v>
      </c>
      <c r="E127" s="5">
        <v>21</v>
      </c>
      <c r="F127" s="5">
        <v>20.100502512562819</v>
      </c>
      <c r="G127">
        <v>14.25</v>
      </c>
      <c r="H127" s="3" t="s">
        <v>10</v>
      </c>
      <c r="I127" s="3" t="s">
        <v>16</v>
      </c>
      <c r="J127" s="3" t="s">
        <v>30</v>
      </c>
      <c r="K127" t="s">
        <v>30</v>
      </c>
      <c r="L127" t="s">
        <v>12</v>
      </c>
      <c r="M127" t="str">
        <f t="shared" si="3"/>
        <v>UK</v>
      </c>
      <c r="N127">
        <f t="shared" si="4"/>
        <v>223.125</v>
      </c>
      <c r="O127">
        <f t="shared" si="5"/>
        <v>522.375</v>
      </c>
    </row>
    <row r="128" spans="1:15" x14ac:dyDescent="0.3">
      <c r="A128" s="3">
        <v>21194</v>
      </c>
      <c r="B128" s="4">
        <v>45266</v>
      </c>
      <c r="C128" t="s">
        <v>33</v>
      </c>
      <c r="D128" s="5">
        <v>8.7250000000000014</v>
      </c>
      <c r="E128" s="5">
        <v>58</v>
      </c>
      <c r="F128" s="5">
        <v>57.306590257879648</v>
      </c>
      <c r="G128">
        <v>4.4000000000000004</v>
      </c>
      <c r="H128" s="3" t="s">
        <v>10</v>
      </c>
      <c r="I128" s="3" t="s">
        <v>16</v>
      </c>
      <c r="J128" s="3" t="s">
        <v>30</v>
      </c>
      <c r="K128" t="s">
        <v>30</v>
      </c>
      <c r="L128" t="s">
        <v>12</v>
      </c>
      <c r="M128" t="str">
        <f t="shared" si="3"/>
        <v>UK</v>
      </c>
      <c r="N128">
        <f t="shared" si="4"/>
        <v>250.85000000000005</v>
      </c>
      <c r="O128">
        <f t="shared" si="5"/>
        <v>506.05000000000007</v>
      </c>
    </row>
    <row r="129" spans="1:15" x14ac:dyDescent="0.3">
      <c r="A129" s="3">
        <v>21196</v>
      </c>
      <c r="B129" s="4">
        <v>45266</v>
      </c>
      <c r="C129" t="s">
        <v>34</v>
      </c>
      <c r="D129" s="5">
        <v>7.375</v>
      </c>
      <c r="E129" s="5">
        <v>68</v>
      </c>
      <c r="F129" s="5">
        <v>67.796610169491515</v>
      </c>
      <c r="G129">
        <v>2.3499999999999996</v>
      </c>
      <c r="H129" s="3" t="s">
        <v>10</v>
      </c>
      <c r="I129" s="3" t="s">
        <v>16</v>
      </c>
      <c r="J129" s="3" t="s">
        <v>30</v>
      </c>
      <c r="K129" t="s">
        <v>30</v>
      </c>
      <c r="L129" t="s">
        <v>12</v>
      </c>
      <c r="M129" t="str">
        <f t="shared" si="3"/>
        <v>UK</v>
      </c>
      <c r="N129">
        <f t="shared" si="4"/>
        <v>341.70000000000005</v>
      </c>
      <c r="O129">
        <f t="shared" si="5"/>
        <v>501.5</v>
      </c>
    </row>
    <row r="130" spans="1:15" x14ac:dyDescent="0.3">
      <c r="A130" s="3">
        <v>21198</v>
      </c>
      <c r="B130" s="4">
        <v>45266</v>
      </c>
      <c r="C130" t="s">
        <v>32</v>
      </c>
      <c r="D130" s="5">
        <v>12.475000000000001</v>
      </c>
      <c r="E130" s="5">
        <v>21</v>
      </c>
      <c r="F130" s="5">
        <v>20.040080160320638</v>
      </c>
      <c r="G130">
        <v>11.25</v>
      </c>
      <c r="H130" s="3" t="s">
        <v>10</v>
      </c>
      <c r="I130" s="3" t="s">
        <v>16</v>
      </c>
      <c r="J130" s="3" t="s">
        <v>30</v>
      </c>
      <c r="K130" t="s">
        <v>30</v>
      </c>
      <c r="L130" t="s">
        <v>12</v>
      </c>
      <c r="M130" t="str">
        <f t="shared" ref="M130:M193" si="6">IF(L130="London","UK",
IF(L130="Madrid","Spain",
IF(L130="Paris","France",
IF(L130="Berlin","Germany",
IF(L130="Lisbon","Portugal","")))))</f>
        <v>UK</v>
      </c>
      <c r="N130">
        <f t="shared" si="4"/>
        <v>25.72500000000003</v>
      </c>
      <c r="O130">
        <f t="shared" si="5"/>
        <v>261.97500000000002</v>
      </c>
    </row>
    <row r="131" spans="1:15" x14ac:dyDescent="0.3">
      <c r="A131" s="3">
        <v>21200</v>
      </c>
      <c r="B131" s="4">
        <v>45267</v>
      </c>
      <c r="C131" t="s">
        <v>36</v>
      </c>
      <c r="D131" s="5">
        <v>32.475000000000001</v>
      </c>
      <c r="E131" s="5">
        <v>53</v>
      </c>
      <c r="F131" s="5">
        <v>52.347959969207082</v>
      </c>
      <c r="G131">
        <v>21.6</v>
      </c>
      <c r="H131" s="3" t="s">
        <v>10</v>
      </c>
      <c r="I131" s="3" t="s">
        <v>16</v>
      </c>
      <c r="J131" s="3" t="s">
        <v>30</v>
      </c>
      <c r="K131" t="s">
        <v>30</v>
      </c>
      <c r="L131" t="s">
        <v>12</v>
      </c>
      <c r="M131" t="str">
        <f t="shared" si="6"/>
        <v>UK</v>
      </c>
      <c r="N131">
        <f t="shared" ref="N131:N194" si="7">(D131-G131)*E131</f>
        <v>576.375</v>
      </c>
      <c r="O131">
        <f t="shared" ref="O131:O194" si="8">D131*E131</f>
        <v>1721.1750000000002</v>
      </c>
    </row>
    <row r="132" spans="1:15" x14ac:dyDescent="0.3">
      <c r="A132" s="3">
        <v>21202</v>
      </c>
      <c r="B132" s="4">
        <v>45267</v>
      </c>
      <c r="C132" t="s">
        <v>35</v>
      </c>
      <c r="D132" s="5">
        <v>24.875</v>
      </c>
      <c r="E132" s="5">
        <v>21</v>
      </c>
      <c r="F132" s="5">
        <v>20.100502512562819</v>
      </c>
      <c r="G132">
        <v>14.25</v>
      </c>
      <c r="H132" s="3" t="s">
        <v>10</v>
      </c>
      <c r="I132" s="3" t="s">
        <v>16</v>
      </c>
      <c r="J132" s="3" t="s">
        <v>30</v>
      </c>
      <c r="K132" t="s">
        <v>30</v>
      </c>
      <c r="L132" t="s">
        <v>12</v>
      </c>
      <c r="M132" t="str">
        <f t="shared" si="6"/>
        <v>UK</v>
      </c>
      <c r="N132">
        <f t="shared" si="7"/>
        <v>223.125</v>
      </c>
      <c r="O132">
        <f t="shared" si="8"/>
        <v>522.375</v>
      </c>
    </row>
    <row r="133" spans="1:15" x14ac:dyDescent="0.3">
      <c r="A133" s="3">
        <v>21204</v>
      </c>
      <c r="B133" s="4">
        <v>45267</v>
      </c>
      <c r="C133" t="s">
        <v>33</v>
      </c>
      <c r="D133" s="5">
        <v>8.7250000000000014</v>
      </c>
      <c r="E133" s="5">
        <v>64</v>
      </c>
      <c r="F133" s="5">
        <v>63.03724928366762</v>
      </c>
      <c r="G133">
        <v>4.4000000000000004</v>
      </c>
      <c r="H133" s="3" t="s">
        <v>10</v>
      </c>
      <c r="I133" s="3" t="s">
        <v>20</v>
      </c>
      <c r="J133" s="3" t="s">
        <v>30</v>
      </c>
      <c r="K133" t="s">
        <v>30</v>
      </c>
      <c r="L133" t="s">
        <v>12</v>
      </c>
      <c r="M133" t="str">
        <f t="shared" si="6"/>
        <v>UK</v>
      </c>
      <c r="N133">
        <f t="shared" si="7"/>
        <v>276.80000000000007</v>
      </c>
      <c r="O133">
        <f t="shared" si="8"/>
        <v>558.40000000000009</v>
      </c>
    </row>
    <row r="134" spans="1:15" x14ac:dyDescent="0.3">
      <c r="A134" s="3">
        <v>21206</v>
      </c>
      <c r="B134" s="4">
        <v>45267</v>
      </c>
      <c r="C134" t="s">
        <v>34</v>
      </c>
      <c r="D134" s="5">
        <v>7.375</v>
      </c>
      <c r="E134" s="5">
        <v>68</v>
      </c>
      <c r="F134" s="5">
        <v>67.796610169491515</v>
      </c>
      <c r="G134">
        <v>2.3499999999999996</v>
      </c>
      <c r="H134" s="3" t="s">
        <v>10</v>
      </c>
      <c r="I134" s="3" t="s">
        <v>20</v>
      </c>
      <c r="J134" s="3" t="s">
        <v>30</v>
      </c>
      <c r="K134" t="s">
        <v>30</v>
      </c>
      <c r="L134" t="s">
        <v>12</v>
      </c>
      <c r="M134" t="str">
        <f t="shared" si="6"/>
        <v>UK</v>
      </c>
      <c r="N134">
        <f t="shared" si="7"/>
        <v>341.70000000000005</v>
      </c>
      <c r="O134">
        <f t="shared" si="8"/>
        <v>501.5</v>
      </c>
    </row>
    <row r="135" spans="1:15" x14ac:dyDescent="0.3">
      <c r="A135" s="3">
        <v>21208</v>
      </c>
      <c r="B135" s="4">
        <v>45267</v>
      </c>
      <c r="C135" t="s">
        <v>32</v>
      </c>
      <c r="D135" s="5">
        <v>12.475000000000001</v>
      </c>
      <c r="E135" s="5">
        <v>21</v>
      </c>
      <c r="F135" s="5">
        <v>20.040080160320638</v>
      </c>
      <c r="G135">
        <v>11.25</v>
      </c>
      <c r="H135" s="3" t="s">
        <v>10</v>
      </c>
      <c r="I135" s="3" t="s">
        <v>20</v>
      </c>
      <c r="J135" s="3" t="s">
        <v>30</v>
      </c>
      <c r="K135" t="s">
        <v>30</v>
      </c>
      <c r="L135" t="s">
        <v>12</v>
      </c>
      <c r="M135" t="str">
        <f t="shared" si="6"/>
        <v>UK</v>
      </c>
      <c r="N135">
        <f t="shared" si="7"/>
        <v>25.72500000000003</v>
      </c>
      <c r="O135">
        <f t="shared" si="8"/>
        <v>261.97500000000002</v>
      </c>
    </row>
    <row r="136" spans="1:15" x14ac:dyDescent="0.3">
      <c r="A136" s="3">
        <v>21210</v>
      </c>
      <c r="B136" s="4">
        <v>45268</v>
      </c>
      <c r="C136" t="s">
        <v>36</v>
      </c>
      <c r="D136" s="5">
        <v>32.475000000000001</v>
      </c>
      <c r="E136" s="5">
        <v>54</v>
      </c>
      <c r="F136" s="5">
        <v>53.887605850654346</v>
      </c>
      <c r="G136">
        <v>21.6</v>
      </c>
      <c r="H136" s="3" t="s">
        <v>10</v>
      </c>
      <c r="I136" s="3" t="s">
        <v>20</v>
      </c>
      <c r="J136" s="3" t="s">
        <v>30</v>
      </c>
      <c r="K136" t="s">
        <v>30</v>
      </c>
      <c r="L136" t="s">
        <v>12</v>
      </c>
      <c r="M136" t="str">
        <f t="shared" si="6"/>
        <v>UK</v>
      </c>
      <c r="N136">
        <f t="shared" si="7"/>
        <v>587.25</v>
      </c>
      <c r="O136">
        <f t="shared" si="8"/>
        <v>1753.65</v>
      </c>
    </row>
    <row r="137" spans="1:15" x14ac:dyDescent="0.3">
      <c r="A137" s="3">
        <v>21212</v>
      </c>
      <c r="B137" s="4">
        <v>45268</v>
      </c>
      <c r="C137" t="s">
        <v>35</v>
      </c>
      <c r="D137" s="5">
        <v>24.875</v>
      </c>
      <c r="E137" s="5">
        <v>21</v>
      </c>
      <c r="F137" s="5">
        <v>20.100502512562819</v>
      </c>
      <c r="G137">
        <v>14.25</v>
      </c>
      <c r="H137" s="3" t="s">
        <v>10</v>
      </c>
      <c r="I137" s="3" t="s">
        <v>20</v>
      </c>
      <c r="J137" s="3" t="s">
        <v>30</v>
      </c>
      <c r="K137" t="s">
        <v>30</v>
      </c>
      <c r="L137" t="s">
        <v>12</v>
      </c>
      <c r="M137" t="str">
        <f t="shared" si="6"/>
        <v>UK</v>
      </c>
      <c r="N137">
        <f t="shared" si="7"/>
        <v>223.125</v>
      </c>
      <c r="O137">
        <f t="shared" si="8"/>
        <v>522.375</v>
      </c>
    </row>
    <row r="138" spans="1:15" x14ac:dyDescent="0.3">
      <c r="A138" s="3">
        <v>21214</v>
      </c>
      <c r="B138" s="4">
        <v>45268</v>
      </c>
      <c r="C138" t="s">
        <v>33</v>
      </c>
      <c r="D138" s="5">
        <v>8.7250000000000014</v>
      </c>
      <c r="E138" s="5">
        <v>64</v>
      </c>
      <c r="F138" s="5">
        <v>63.03724928366762</v>
      </c>
      <c r="G138">
        <v>4.4000000000000004</v>
      </c>
      <c r="H138" s="3" t="s">
        <v>10</v>
      </c>
      <c r="I138" s="3" t="s">
        <v>20</v>
      </c>
      <c r="J138" s="3" t="s">
        <v>30</v>
      </c>
      <c r="K138" t="s">
        <v>30</v>
      </c>
      <c r="L138" t="s">
        <v>12</v>
      </c>
      <c r="M138" t="str">
        <f t="shared" si="6"/>
        <v>UK</v>
      </c>
      <c r="N138">
        <f t="shared" si="7"/>
        <v>276.80000000000007</v>
      </c>
      <c r="O138">
        <f t="shared" si="8"/>
        <v>558.40000000000009</v>
      </c>
    </row>
    <row r="139" spans="1:15" x14ac:dyDescent="0.3">
      <c r="A139" s="3">
        <v>21216</v>
      </c>
      <c r="B139" s="4">
        <v>45268</v>
      </c>
      <c r="C139" t="s">
        <v>34</v>
      </c>
      <c r="D139" s="5">
        <v>7.375</v>
      </c>
      <c r="E139" s="5">
        <v>68</v>
      </c>
      <c r="F139" s="5">
        <v>67.796610169491515</v>
      </c>
      <c r="G139">
        <v>2.3499999999999996</v>
      </c>
      <c r="H139" s="3" t="s">
        <v>10</v>
      </c>
      <c r="I139" s="3" t="s">
        <v>11</v>
      </c>
      <c r="J139" s="3" t="s">
        <v>30</v>
      </c>
      <c r="K139" t="s">
        <v>30</v>
      </c>
      <c r="L139" t="s">
        <v>12</v>
      </c>
      <c r="M139" t="str">
        <f t="shared" si="6"/>
        <v>UK</v>
      </c>
      <c r="N139">
        <f t="shared" si="7"/>
        <v>341.70000000000005</v>
      </c>
      <c r="O139">
        <f t="shared" si="8"/>
        <v>501.5</v>
      </c>
    </row>
    <row r="140" spans="1:15" x14ac:dyDescent="0.3">
      <c r="A140" s="3">
        <v>21218</v>
      </c>
      <c r="B140" s="4">
        <v>45268</v>
      </c>
      <c r="C140" t="s">
        <v>32</v>
      </c>
      <c r="D140" s="5">
        <v>12.475000000000001</v>
      </c>
      <c r="E140" s="5">
        <v>21</v>
      </c>
      <c r="F140" s="5">
        <v>20.040080160320638</v>
      </c>
      <c r="G140">
        <v>11.25</v>
      </c>
      <c r="H140" s="3" t="s">
        <v>10</v>
      </c>
      <c r="I140" s="3" t="s">
        <v>11</v>
      </c>
      <c r="J140" s="3" t="s">
        <v>30</v>
      </c>
      <c r="K140" t="s">
        <v>30</v>
      </c>
      <c r="L140" t="s">
        <v>12</v>
      </c>
      <c r="M140" t="str">
        <f t="shared" si="6"/>
        <v>UK</v>
      </c>
      <c r="N140">
        <f t="shared" si="7"/>
        <v>25.72500000000003</v>
      </c>
      <c r="O140">
        <f t="shared" si="8"/>
        <v>261.97500000000002</v>
      </c>
    </row>
    <row r="141" spans="1:15" x14ac:dyDescent="0.3">
      <c r="A141" s="3">
        <v>21220</v>
      </c>
      <c r="B141" s="4">
        <v>45269</v>
      </c>
      <c r="C141" t="s">
        <v>36</v>
      </c>
      <c r="D141" s="5">
        <v>32.475000000000001</v>
      </c>
      <c r="E141" s="5">
        <v>57</v>
      </c>
      <c r="F141" s="5">
        <v>56.96689761354888</v>
      </c>
      <c r="G141">
        <v>21.6</v>
      </c>
      <c r="H141" s="3" t="s">
        <v>10</v>
      </c>
      <c r="I141" s="3" t="s">
        <v>11</v>
      </c>
      <c r="J141" s="3" t="s">
        <v>30</v>
      </c>
      <c r="K141" t="s">
        <v>30</v>
      </c>
      <c r="L141" t="s">
        <v>12</v>
      </c>
      <c r="M141" t="str">
        <f t="shared" si="6"/>
        <v>UK</v>
      </c>
      <c r="N141">
        <f t="shared" si="7"/>
        <v>619.875</v>
      </c>
      <c r="O141">
        <f t="shared" si="8"/>
        <v>1851.075</v>
      </c>
    </row>
    <row r="142" spans="1:15" x14ac:dyDescent="0.3">
      <c r="A142" s="3">
        <v>21222</v>
      </c>
      <c r="B142" s="4">
        <v>45269</v>
      </c>
      <c r="C142" t="s">
        <v>35</v>
      </c>
      <c r="D142" s="5">
        <v>24.875</v>
      </c>
      <c r="E142" s="5">
        <v>21</v>
      </c>
      <c r="F142" s="5">
        <v>20.100502512562819</v>
      </c>
      <c r="G142">
        <v>14.25</v>
      </c>
      <c r="H142" s="3" t="s">
        <v>10</v>
      </c>
      <c r="I142" s="3" t="s">
        <v>11</v>
      </c>
      <c r="J142" s="3" t="s">
        <v>30</v>
      </c>
      <c r="K142" t="s">
        <v>30</v>
      </c>
      <c r="L142" t="s">
        <v>12</v>
      </c>
      <c r="M142" t="str">
        <f t="shared" si="6"/>
        <v>UK</v>
      </c>
      <c r="N142">
        <f t="shared" si="7"/>
        <v>223.125</v>
      </c>
      <c r="O142">
        <f t="shared" si="8"/>
        <v>522.375</v>
      </c>
    </row>
    <row r="143" spans="1:15" x14ac:dyDescent="0.3">
      <c r="A143" s="3">
        <v>21224</v>
      </c>
      <c r="B143" s="4">
        <v>45269</v>
      </c>
      <c r="C143" t="s">
        <v>33</v>
      </c>
      <c r="D143" s="5">
        <v>8.7250000000000014</v>
      </c>
      <c r="E143" s="5">
        <v>64</v>
      </c>
      <c r="F143" s="5">
        <v>63.03724928366762</v>
      </c>
      <c r="G143">
        <v>4.4000000000000004</v>
      </c>
      <c r="H143" s="3" t="s">
        <v>10</v>
      </c>
      <c r="I143" s="3" t="s">
        <v>11</v>
      </c>
      <c r="J143" s="3" t="s">
        <v>30</v>
      </c>
      <c r="K143" t="s">
        <v>30</v>
      </c>
      <c r="L143" t="s">
        <v>12</v>
      </c>
      <c r="M143" t="str">
        <f t="shared" si="6"/>
        <v>UK</v>
      </c>
      <c r="N143">
        <f t="shared" si="7"/>
        <v>276.80000000000007</v>
      </c>
      <c r="O143">
        <f t="shared" si="8"/>
        <v>558.40000000000009</v>
      </c>
    </row>
    <row r="144" spans="1:15" x14ac:dyDescent="0.3">
      <c r="A144" s="3">
        <v>21226</v>
      </c>
      <c r="B144" s="4">
        <v>45269</v>
      </c>
      <c r="C144" t="s">
        <v>34</v>
      </c>
      <c r="D144" s="5">
        <v>7.375</v>
      </c>
      <c r="E144" s="5">
        <v>68</v>
      </c>
      <c r="F144" s="5">
        <v>67.796610169491515</v>
      </c>
      <c r="G144">
        <v>2.3499999999999996</v>
      </c>
      <c r="H144" s="3" t="s">
        <v>10</v>
      </c>
      <c r="I144" s="3" t="s">
        <v>11</v>
      </c>
      <c r="J144" s="3" t="s">
        <v>30</v>
      </c>
      <c r="K144" t="s">
        <v>30</v>
      </c>
      <c r="L144" t="s">
        <v>12</v>
      </c>
      <c r="M144" t="str">
        <f t="shared" si="6"/>
        <v>UK</v>
      </c>
      <c r="N144">
        <f t="shared" si="7"/>
        <v>341.70000000000005</v>
      </c>
      <c r="O144">
        <f t="shared" si="8"/>
        <v>501.5</v>
      </c>
    </row>
    <row r="145" spans="1:15" x14ac:dyDescent="0.3">
      <c r="A145" s="3">
        <v>21228</v>
      </c>
      <c r="B145" s="4">
        <v>45269</v>
      </c>
      <c r="C145" t="s">
        <v>32</v>
      </c>
      <c r="D145" s="5">
        <v>12.475000000000001</v>
      </c>
      <c r="E145" s="5">
        <v>21</v>
      </c>
      <c r="F145" s="5">
        <v>20.040080160320638</v>
      </c>
      <c r="G145">
        <v>11.25</v>
      </c>
      <c r="H145" s="3" t="s">
        <v>10</v>
      </c>
      <c r="I145" s="3" t="s">
        <v>11</v>
      </c>
      <c r="J145" s="3" t="s">
        <v>30</v>
      </c>
      <c r="K145" t="s">
        <v>30</v>
      </c>
      <c r="L145" t="s">
        <v>12</v>
      </c>
      <c r="M145" t="str">
        <f t="shared" si="6"/>
        <v>UK</v>
      </c>
      <c r="N145">
        <f t="shared" si="7"/>
        <v>25.72500000000003</v>
      </c>
      <c r="O145">
        <f t="shared" si="8"/>
        <v>261.97500000000002</v>
      </c>
    </row>
    <row r="146" spans="1:15" x14ac:dyDescent="0.3">
      <c r="A146" s="3">
        <v>21230</v>
      </c>
      <c r="B146" s="4">
        <v>45270</v>
      </c>
      <c r="C146" t="s">
        <v>36</v>
      </c>
      <c r="D146" s="5">
        <v>32.475000000000001</v>
      </c>
      <c r="E146" s="5">
        <v>57</v>
      </c>
      <c r="F146" s="5">
        <v>56.96689761354888</v>
      </c>
      <c r="G146">
        <v>21.6</v>
      </c>
      <c r="H146" s="3" t="s">
        <v>10</v>
      </c>
      <c r="I146" s="3" t="s">
        <v>11</v>
      </c>
      <c r="J146" s="3" t="s">
        <v>30</v>
      </c>
      <c r="K146" t="s">
        <v>30</v>
      </c>
      <c r="L146" t="s">
        <v>12</v>
      </c>
      <c r="M146" t="str">
        <f t="shared" si="6"/>
        <v>UK</v>
      </c>
      <c r="N146">
        <f t="shared" si="7"/>
        <v>619.875</v>
      </c>
      <c r="O146">
        <f t="shared" si="8"/>
        <v>1851.075</v>
      </c>
    </row>
    <row r="147" spans="1:15" x14ac:dyDescent="0.3">
      <c r="A147" s="3">
        <v>21232</v>
      </c>
      <c r="B147" s="4">
        <v>45270</v>
      </c>
      <c r="C147" t="s">
        <v>35</v>
      </c>
      <c r="D147" s="5">
        <v>24.875</v>
      </c>
      <c r="E147" s="5">
        <v>21</v>
      </c>
      <c r="F147" s="5">
        <v>20.100502512562819</v>
      </c>
      <c r="G147">
        <v>14.25</v>
      </c>
      <c r="H147" s="3" t="s">
        <v>10</v>
      </c>
      <c r="I147" s="3" t="s">
        <v>11</v>
      </c>
      <c r="J147" s="3" t="s">
        <v>30</v>
      </c>
      <c r="K147" t="s">
        <v>30</v>
      </c>
      <c r="L147" t="s">
        <v>12</v>
      </c>
      <c r="M147" t="str">
        <f t="shared" si="6"/>
        <v>UK</v>
      </c>
      <c r="N147">
        <f t="shared" si="7"/>
        <v>223.125</v>
      </c>
      <c r="O147">
        <f t="shared" si="8"/>
        <v>522.375</v>
      </c>
    </row>
    <row r="148" spans="1:15" x14ac:dyDescent="0.3">
      <c r="A148" s="3">
        <v>21234</v>
      </c>
      <c r="B148" s="4">
        <v>45270</v>
      </c>
      <c r="C148" t="s">
        <v>33</v>
      </c>
      <c r="D148" s="5">
        <v>8.7250000000000014</v>
      </c>
      <c r="E148" s="5">
        <v>64</v>
      </c>
      <c r="F148" s="5">
        <v>63.03724928366762</v>
      </c>
      <c r="G148">
        <v>4.4000000000000004</v>
      </c>
      <c r="H148" s="3" t="s">
        <v>10</v>
      </c>
      <c r="I148" s="3" t="s">
        <v>11</v>
      </c>
      <c r="J148" s="3" t="s">
        <v>30</v>
      </c>
      <c r="K148" t="s">
        <v>30</v>
      </c>
      <c r="L148" t="s">
        <v>12</v>
      </c>
      <c r="M148" t="str">
        <f t="shared" si="6"/>
        <v>UK</v>
      </c>
      <c r="N148">
        <f t="shared" si="7"/>
        <v>276.80000000000007</v>
      </c>
      <c r="O148">
        <f t="shared" si="8"/>
        <v>558.40000000000009</v>
      </c>
    </row>
    <row r="149" spans="1:15" x14ac:dyDescent="0.3">
      <c r="A149" s="3">
        <v>21236</v>
      </c>
      <c r="B149" s="4">
        <v>45270</v>
      </c>
      <c r="C149" t="s">
        <v>34</v>
      </c>
      <c r="D149" s="5">
        <v>7.375</v>
      </c>
      <c r="E149" s="5">
        <v>68</v>
      </c>
      <c r="F149" s="5">
        <v>67.796610169491515</v>
      </c>
      <c r="G149">
        <v>2.3499999999999996</v>
      </c>
      <c r="H149" s="3" t="s">
        <v>10</v>
      </c>
      <c r="I149" s="3" t="s">
        <v>11</v>
      </c>
      <c r="J149" s="3" t="s">
        <v>30</v>
      </c>
      <c r="K149" t="s">
        <v>30</v>
      </c>
      <c r="L149" t="s">
        <v>12</v>
      </c>
      <c r="M149" t="str">
        <f t="shared" si="6"/>
        <v>UK</v>
      </c>
      <c r="N149">
        <f t="shared" si="7"/>
        <v>341.70000000000005</v>
      </c>
      <c r="O149">
        <f t="shared" si="8"/>
        <v>501.5</v>
      </c>
    </row>
    <row r="150" spans="1:15" x14ac:dyDescent="0.3">
      <c r="A150" s="3">
        <v>21238</v>
      </c>
      <c r="B150" s="4">
        <v>45270</v>
      </c>
      <c r="C150" t="s">
        <v>32</v>
      </c>
      <c r="D150" s="5">
        <v>12.475000000000001</v>
      </c>
      <c r="E150" s="5">
        <v>21</v>
      </c>
      <c r="F150" s="5">
        <v>20.040080160320638</v>
      </c>
      <c r="G150">
        <v>11.25</v>
      </c>
      <c r="H150" s="3" t="s">
        <v>10</v>
      </c>
      <c r="I150" s="3" t="s">
        <v>11</v>
      </c>
      <c r="J150" s="3" t="s">
        <v>30</v>
      </c>
      <c r="K150" t="s">
        <v>30</v>
      </c>
      <c r="L150" t="s">
        <v>12</v>
      </c>
      <c r="M150" t="str">
        <f t="shared" si="6"/>
        <v>UK</v>
      </c>
      <c r="N150">
        <f t="shared" si="7"/>
        <v>25.72500000000003</v>
      </c>
      <c r="O150">
        <f t="shared" si="8"/>
        <v>261.97500000000002</v>
      </c>
    </row>
    <row r="151" spans="1:15" x14ac:dyDescent="0.3">
      <c r="A151" s="3">
        <v>21240</v>
      </c>
      <c r="B151" s="4">
        <v>45271</v>
      </c>
      <c r="C151" t="s">
        <v>36</v>
      </c>
      <c r="D151" s="5">
        <v>32.475000000000001</v>
      </c>
      <c r="E151" s="5">
        <v>59</v>
      </c>
      <c r="F151" s="5">
        <v>58.506543494996151</v>
      </c>
      <c r="G151">
        <v>21.6</v>
      </c>
      <c r="H151" s="3" t="s">
        <v>10</v>
      </c>
      <c r="I151" s="3" t="s">
        <v>11</v>
      </c>
      <c r="J151" s="3" t="s">
        <v>30</v>
      </c>
      <c r="K151" t="s">
        <v>30</v>
      </c>
      <c r="L151" t="s">
        <v>12</v>
      </c>
      <c r="M151" t="str">
        <f t="shared" si="6"/>
        <v>UK</v>
      </c>
      <c r="N151">
        <f t="shared" si="7"/>
        <v>641.625</v>
      </c>
      <c r="O151">
        <f t="shared" si="8"/>
        <v>1916.0250000000001</v>
      </c>
    </row>
    <row r="152" spans="1:15" x14ac:dyDescent="0.3">
      <c r="A152" s="3">
        <v>21242</v>
      </c>
      <c r="B152" s="4">
        <v>45271</v>
      </c>
      <c r="C152" t="s">
        <v>35</v>
      </c>
      <c r="D152" s="5">
        <v>24.875</v>
      </c>
      <c r="E152" s="5">
        <v>21</v>
      </c>
      <c r="F152" s="5">
        <v>20.100502512562819</v>
      </c>
      <c r="G152">
        <v>14.25</v>
      </c>
      <c r="H152" s="3" t="s">
        <v>10</v>
      </c>
      <c r="I152" s="3" t="s">
        <v>11</v>
      </c>
      <c r="J152" s="3" t="s">
        <v>30</v>
      </c>
      <c r="K152" t="s">
        <v>30</v>
      </c>
      <c r="L152" t="s">
        <v>12</v>
      </c>
      <c r="M152" t="str">
        <f t="shared" si="6"/>
        <v>UK</v>
      </c>
      <c r="N152">
        <f t="shared" si="7"/>
        <v>223.125</v>
      </c>
      <c r="O152">
        <f t="shared" si="8"/>
        <v>522.375</v>
      </c>
    </row>
    <row r="153" spans="1:15" x14ac:dyDescent="0.3">
      <c r="A153" s="3">
        <v>21244</v>
      </c>
      <c r="B153" s="4">
        <v>45271</v>
      </c>
      <c r="C153" t="s">
        <v>33</v>
      </c>
      <c r="D153" s="5">
        <v>8.7250000000000014</v>
      </c>
      <c r="E153" s="5">
        <v>64</v>
      </c>
      <c r="F153" s="5">
        <v>63.03724928366762</v>
      </c>
      <c r="G153">
        <v>4.4000000000000004</v>
      </c>
      <c r="H153" s="3" t="s">
        <v>10</v>
      </c>
      <c r="I153" s="3" t="s">
        <v>11</v>
      </c>
      <c r="J153" s="3" t="s">
        <v>30</v>
      </c>
      <c r="K153" t="s">
        <v>30</v>
      </c>
      <c r="L153" t="s">
        <v>12</v>
      </c>
      <c r="M153" t="str">
        <f t="shared" si="6"/>
        <v>UK</v>
      </c>
      <c r="N153">
        <f t="shared" si="7"/>
        <v>276.80000000000007</v>
      </c>
      <c r="O153">
        <f t="shared" si="8"/>
        <v>558.40000000000009</v>
      </c>
    </row>
    <row r="154" spans="1:15" x14ac:dyDescent="0.3">
      <c r="A154" s="3">
        <v>21246</v>
      </c>
      <c r="B154" s="4">
        <v>45271</v>
      </c>
      <c r="C154" t="s">
        <v>34</v>
      </c>
      <c r="D154" s="5">
        <v>7.375</v>
      </c>
      <c r="E154" s="5">
        <v>75</v>
      </c>
      <c r="F154" s="5">
        <v>74.576271186440664</v>
      </c>
      <c r="G154">
        <v>2.3499999999999996</v>
      </c>
      <c r="H154" s="3" t="s">
        <v>10</v>
      </c>
      <c r="I154" s="3" t="s">
        <v>11</v>
      </c>
      <c r="J154" s="3" t="s">
        <v>30</v>
      </c>
      <c r="K154" t="s">
        <v>30</v>
      </c>
      <c r="L154" t="s">
        <v>12</v>
      </c>
      <c r="M154" t="str">
        <f t="shared" si="6"/>
        <v>UK</v>
      </c>
      <c r="N154">
        <f t="shared" si="7"/>
        <v>376.875</v>
      </c>
      <c r="O154">
        <f t="shared" si="8"/>
        <v>553.125</v>
      </c>
    </row>
    <row r="155" spans="1:15" x14ac:dyDescent="0.3">
      <c r="A155" s="3">
        <v>21248</v>
      </c>
      <c r="B155" s="4">
        <v>45271</v>
      </c>
      <c r="C155" t="s">
        <v>32</v>
      </c>
      <c r="D155" s="5">
        <v>12.475000000000001</v>
      </c>
      <c r="E155" s="5">
        <v>21</v>
      </c>
      <c r="F155" s="5">
        <v>20.040080160320638</v>
      </c>
      <c r="G155">
        <v>11.25</v>
      </c>
      <c r="H155" s="3" t="s">
        <v>10</v>
      </c>
      <c r="I155" s="3" t="s">
        <v>11</v>
      </c>
      <c r="J155" s="3" t="s">
        <v>30</v>
      </c>
      <c r="K155" t="s">
        <v>30</v>
      </c>
      <c r="L155" t="s">
        <v>12</v>
      </c>
      <c r="M155" t="str">
        <f t="shared" si="6"/>
        <v>UK</v>
      </c>
      <c r="N155">
        <f t="shared" si="7"/>
        <v>25.72500000000003</v>
      </c>
      <c r="O155">
        <f t="shared" si="8"/>
        <v>261.97500000000002</v>
      </c>
    </row>
    <row r="156" spans="1:15" x14ac:dyDescent="0.3">
      <c r="A156" s="3">
        <v>21250</v>
      </c>
      <c r="B156" s="4">
        <v>45272</v>
      </c>
      <c r="C156" t="s">
        <v>36</v>
      </c>
      <c r="D156" s="5">
        <v>32.475000000000001</v>
      </c>
      <c r="E156" s="5">
        <v>57</v>
      </c>
      <c r="F156" s="5">
        <v>56.96689761354888</v>
      </c>
      <c r="G156">
        <v>21.6</v>
      </c>
      <c r="H156" s="3" t="s">
        <v>10</v>
      </c>
      <c r="I156" s="3" t="s">
        <v>11</v>
      </c>
      <c r="J156" s="3" t="s">
        <v>30</v>
      </c>
      <c r="K156" t="s">
        <v>30</v>
      </c>
      <c r="L156" t="s">
        <v>12</v>
      </c>
      <c r="M156" t="str">
        <f t="shared" si="6"/>
        <v>UK</v>
      </c>
      <c r="N156">
        <f t="shared" si="7"/>
        <v>619.875</v>
      </c>
      <c r="O156">
        <f t="shared" si="8"/>
        <v>1851.075</v>
      </c>
    </row>
    <row r="157" spans="1:15" x14ac:dyDescent="0.3">
      <c r="A157" s="3">
        <v>21252</v>
      </c>
      <c r="B157" s="4">
        <v>45272</v>
      </c>
      <c r="C157" t="s">
        <v>35</v>
      </c>
      <c r="D157" s="5">
        <v>24.875</v>
      </c>
      <c r="E157" s="5">
        <v>21</v>
      </c>
      <c r="F157" s="5">
        <v>20.100502512562819</v>
      </c>
      <c r="G157">
        <v>14.25</v>
      </c>
      <c r="H157" s="3" t="s">
        <v>10</v>
      </c>
      <c r="I157" s="3" t="s">
        <v>11</v>
      </c>
      <c r="J157" s="3" t="s">
        <v>30</v>
      </c>
      <c r="K157" t="s">
        <v>30</v>
      </c>
      <c r="L157" t="s">
        <v>12</v>
      </c>
      <c r="M157" t="str">
        <f t="shared" si="6"/>
        <v>UK</v>
      </c>
      <c r="N157">
        <f t="shared" si="7"/>
        <v>223.125</v>
      </c>
      <c r="O157">
        <f t="shared" si="8"/>
        <v>522.375</v>
      </c>
    </row>
    <row r="158" spans="1:15" x14ac:dyDescent="0.3">
      <c r="A158" s="3">
        <v>21254</v>
      </c>
      <c r="B158" s="4">
        <v>45272</v>
      </c>
      <c r="C158" t="s">
        <v>33</v>
      </c>
      <c r="D158" s="5">
        <v>8.7250000000000014</v>
      </c>
      <c r="E158" s="5">
        <v>64</v>
      </c>
      <c r="F158" s="5">
        <v>63.03724928366762</v>
      </c>
      <c r="G158">
        <v>4.4000000000000004</v>
      </c>
      <c r="H158" s="3" t="s">
        <v>10</v>
      </c>
      <c r="I158" s="3" t="s">
        <v>11</v>
      </c>
      <c r="J158" s="3" t="s">
        <v>30</v>
      </c>
      <c r="K158" t="s">
        <v>30</v>
      </c>
      <c r="L158" t="s">
        <v>12</v>
      </c>
      <c r="M158" t="str">
        <f t="shared" si="6"/>
        <v>UK</v>
      </c>
      <c r="N158">
        <f t="shared" si="7"/>
        <v>276.80000000000007</v>
      </c>
      <c r="O158">
        <f t="shared" si="8"/>
        <v>558.40000000000009</v>
      </c>
    </row>
    <row r="159" spans="1:15" ht="15.6" x14ac:dyDescent="0.3">
      <c r="A159" s="3">
        <v>21256</v>
      </c>
      <c r="B159" s="4">
        <v>45272</v>
      </c>
      <c r="C159" t="s">
        <v>34</v>
      </c>
      <c r="D159" s="5">
        <v>7.375</v>
      </c>
      <c r="E159" s="5">
        <v>68</v>
      </c>
      <c r="F159" s="5">
        <v>67.796610169491515</v>
      </c>
      <c r="G159">
        <v>2.3499999999999996</v>
      </c>
      <c r="H159" s="3" t="s">
        <v>10</v>
      </c>
      <c r="I159" s="3" t="s">
        <v>11</v>
      </c>
      <c r="J159" s="3" t="s">
        <v>24</v>
      </c>
      <c r="K159" s="6" t="s">
        <v>24</v>
      </c>
      <c r="L159" t="s">
        <v>15</v>
      </c>
      <c r="M159" t="str">
        <f t="shared" si="6"/>
        <v>Portugal</v>
      </c>
      <c r="N159">
        <f t="shared" si="7"/>
        <v>341.70000000000005</v>
      </c>
      <c r="O159">
        <f t="shared" si="8"/>
        <v>501.5</v>
      </c>
    </row>
    <row r="160" spans="1:15" ht="15.6" x14ac:dyDescent="0.3">
      <c r="A160" s="3">
        <v>21258</v>
      </c>
      <c r="B160" s="4">
        <v>45272</v>
      </c>
      <c r="C160" t="s">
        <v>32</v>
      </c>
      <c r="D160" s="5">
        <v>12.475000000000001</v>
      </c>
      <c r="E160" s="5">
        <v>21</v>
      </c>
      <c r="F160" s="5">
        <v>20.040080160320638</v>
      </c>
      <c r="G160">
        <v>11.25</v>
      </c>
      <c r="H160" s="3" t="s">
        <v>10</v>
      </c>
      <c r="I160" s="3" t="s">
        <v>11</v>
      </c>
      <c r="J160" s="3" t="s">
        <v>24</v>
      </c>
      <c r="K160" s="6" t="s">
        <v>24</v>
      </c>
      <c r="L160" t="s">
        <v>15</v>
      </c>
      <c r="M160" t="str">
        <f t="shared" si="6"/>
        <v>Portugal</v>
      </c>
      <c r="N160">
        <f t="shared" si="7"/>
        <v>25.72500000000003</v>
      </c>
      <c r="O160">
        <f t="shared" si="8"/>
        <v>261.97500000000002</v>
      </c>
    </row>
    <row r="161" spans="1:15" ht="15.6" x14ac:dyDescent="0.3">
      <c r="A161" s="3">
        <v>21260</v>
      </c>
      <c r="B161" s="4">
        <v>45273</v>
      </c>
      <c r="C161" t="s">
        <v>36</v>
      </c>
      <c r="D161" s="5">
        <v>32.475000000000001</v>
      </c>
      <c r="E161" s="5">
        <v>57</v>
      </c>
      <c r="F161" s="5">
        <v>56.96689761354888</v>
      </c>
      <c r="G161">
        <v>21.6</v>
      </c>
      <c r="H161" s="3" t="s">
        <v>10</v>
      </c>
      <c r="I161" s="3" t="s">
        <v>20</v>
      </c>
      <c r="J161" s="3" t="s">
        <v>24</v>
      </c>
      <c r="K161" s="6" t="s">
        <v>24</v>
      </c>
      <c r="L161" t="s">
        <v>15</v>
      </c>
      <c r="M161" t="str">
        <f t="shared" si="6"/>
        <v>Portugal</v>
      </c>
      <c r="N161">
        <f t="shared" si="7"/>
        <v>619.875</v>
      </c>
      <c r="O161">
        <f t="shared" si="8"/>
        <v>1851.075</v>
      </c>
    </row>
    <row r="162" spans="1:15" ht="15.6" x14ac:dyDescent="0.3">
      <c r="A162" s="3">
        <v>21262</v>
      </c>
      <c r="B162" s="4">
        <v>45273</v>
      </c>
      <c r="C162" t="s">
        <v>35</v>
      </c>
      <c r="D162" s="5">
        <v>24.875</v>
      </c>
      <c r="E162" s="5">
        <v>21</v>
      </c>
      <c r="F162" s="5">
        <v>20.100502512562819</v>
      </c>
      <c r="G162">
        <v>14.25</v>
      </c>
      <c r="H162" s="3" t="s">
        <v>10</v>
      </c>
      <c r="I162" s="3" t="s">
        <v>11</v>
      </c>
      <c r="J162" s="3" t="s">
        <v>24</v>
      </c>
      <c r="K162" s="6" t="s">
        <v>24</v>
      </c>
      <c r="L162" t="s">
        <v>15</v>
      </c>
      <c r="M162" t="str">
        <f t="shared" si="6"/>
        <v>Portugal</v>
      </c>
      <c r="N162">
        <f t="shared" si="7"/>
        <v>223.125</v>
      </c>
      <c r="O162">
        <f t="shared" si="8"/>
        <v>522.375</v>
      </c>
    </row>
    <row r="163" spans="1:15" ht="15.6" x14ac:dyDescent="0.3">
      <c r="A163" s="3">
        <v>21264</v>
      </c>
      <c r="B163" s="4">
        <v>45273</v>
      </c>
      <c r="C163" t="s">
        <v>33</v>
      </c>
      <c r="D163" s="5">
        <v>8.7250000000000014</v>
      </c>
      <c r="E163" s="5">
        <v>64</v>
      </c>
      <c r="F163" s="5">
        <v>63.03724928366762</v>
      </c>
      <c r="G163">
        <v>4.4000000000000004</v>
      </c>
      <c r="H163" s="3" t="s">
        <v>10</v>
      </c>
      <c r="I163" s="3" t="s">
        <v>11</v>
      </c>
      <c r="J163" s="3" t="s">
        <v>24</v>
      </c>
      <c r="K163" s="6" t="s">
        <v>24</v>
      </c>
      <c r="L163" t="s">
        <v>15</v>
      </c>
      <c r="M163" t="str">
        <f t="shared" si="6"/>
        <v>Portugal</v>
      </c>
      <c r="N163">
        <f t="shared" si="7"/>
        <v>276.80000000000007</v>
      </c>
      <c r="O163">
        <f t="shared" si="8"/>
        <v>558.40000000000009</v>
      </c>
    </row>
    <row r="164" spans="1:15" ht="15.6" x14ac:dyDescent="0.3">
      <c r="A164" s="3">
        <v>21266</v>
      </c>
      <c r="B164" s="4">
        <v>45273</v>
      </c>
      <c r="C164" t="s">
        <v>34</v>
      </c>
      <c r="D164" s="5">
        <v>7.375</v>
      </c>
      <c r="E164" s="5">
        <v>68</v>
      </c>
      <c r="F164" s="5">
        <v>67.796610169491515</v>
      </c>
      <c r="G164">
        <v>2.3499999999999996</v>
      </c>
      <c r="H164" s="3" t="s">
        <v>10</v>
      </c>
      <c r="I164" s="3" t="s">
        <v>11</v>
      </c>
      <c r="J164" s="3" t="s">
        <v>24</v>
      </c>
      <c r="K164" s="6" t="s">
        <v>24</v>
      </c>
      <c r="L164" t="s">
        <v>15</v>
      </c>
      <c r="M164" t="str">
        <f t="shared" si="6"/>
        <v>Portugal</v>
      </c>
      <c r="N164">
        <f t="shared" si="7"/>
        <v>341.70000000000005</v>
      </c>
      <c r="O164">
        <f t="shared" si="8"/>
        <v>501.5</v>
      </c>
    </row>
    <row r="165" spans="1:15" ht="15.6" x14ac:dyDescent="0.3">
      <c r="A165" s="3">
        <v>21268</v>
      </c>
      <c r="B165" s="4">
        <v>45273</v>
      </c>
      <c r="C165" t="s">
        <v>32</v>
      </c>
      <c r="D165" s="5">
        <v>12.475000000000001</v>
      </c>
      <c r="E165" s="5">
        <v>21</v>
      </c>
      <c r="F165" s="5">
        <v>20.040080160320638</v>
      </c>
      <c r="G165">
        <v>11.25</v>
      </c>
      <c r="H165" s="3" t="s">
        <v>10</v>
      </c>
      <c r="I165" s="3" t="s">
        <v>11</v>
      </c>
      <c r="J165" s="3" t="s">
        <v>24</v>
      </c>
      <c r="K165" s="6" t="s">
        <v>24</v>
      </c>
      <c r="L165" t="s">
        <v>15</v>
      </c>
      <c r="M165" t="str">
        <f t="shared" si="6"/>
        <v>Portugal</v>
      </c>
      <c r="N165">
        <f t="shared" si="7"/>
        <v>25.72500000000003</v>
      </c>
      <c r="O165">
        <f t="shared" si="8"/>
        <v>261.97500000000002</v>
      </c>
    </row>
    <row r="166" spans="1:15" ht="15.6" x14ac:dyDescent="0.3">
      <c r="A166" s="3">
        <v>21270</v>
      </c>
      <c r="B166" s="4">
        <v>45274</v>
      </c>
      <c r="C166" t="s">
        <v>36</v>
      </c>
      <c r="D166" s="5">
        <v>32.475000000000001</v>
      </c>
      <c r="E166" s="5">
        <v>56</v>
      </c>
      <c r="F166" s="5">
        <v>55.427251732101617</v>
      </c>
      <c r="G166">
        <v>21.6</v>
      </c>
      <c r="H166" s="3" t="s">
        <v>10</v>
      </c>
      <c r="I166" s="3" t="s">
        <v>11</v>
      </c>
      <c r="J166" s="3" t="s">
        <v>24</v>
      </c>
      <c r="K166" s="6" t="s">
        <v>24</v>
      </c>
      <c r="L166" t="s">
        <v>15</v>
      </c>
      <c r="M166" t="str">
        <f t="shared" si="6"/>
        <v>Portugal</v>
      </c>
      <c r="N166">
        <f t="shared" si="7"/>
        <v>609</v>
      </c>
      <c r="O166">
        <f t="shared" si="8"/>
        <v>1818.6000000000001</v>
      </c>
    </row>
    <row r="167" spans="1:15" ht="15.6" x14ac:dyDescent="0.3">
      <c r="A167" s="3">
        <v>21272</v>
      </c>
      <c r="B167" s="4">
        <v>45274</v>
      </c>
      <c r="C167" t="s">
        <v>35</v>
      </c>
      <c r="D167" s="5">
        <v>24.875</v>
      </c>
      <c r="E167" s="5">
        <v>23</v>
      </c>
      <c r="F167" s="5">
        <v>22.110552763819097</v>
      </c>
      <c r="G167">
        <v>14.25</v>
      </c>
      <c r="H167" s="3" t="s">
        <v>10</v>
      </c>
      <c r="I167" s="3" t="s">
        <v>11</v>
      </c>
      <c r="J167" s="3" t="s">
        <v>24</v>
      </c>
      <c r="K167" s="6" t="s">
        <v>24</v>
      </c>
      <c r="L167" t="s">
        <v>15</v>
      </c>
      <c r="M167" t="str">
        <f t="shared" si="6"/>
        <v>Portugal</v>
      </c>
      <c r="N167">
        <f t="shared" si="7"/>
        <v>244.375</v>
      </c>
      <c r="O167">
        <f t="shared" si="8"/>
        <v>572.125</v>
      </c>
    </row>
    <row r="168" spans="1:15" ht="15.6" x14ac:dyDescent="0.3">
      <c r="A168" s="3">
        <v>21274</v>
      </c>
      <c r="B168" s="4">
        <v>45274</v>
      </c>
      <c r="C168" t="s">
        <v>33</v>
      </c>
      <c r="D168" s="5">
        <v>8.7250000000000014</v>
      </c>
      <c r="E168" s="5">
        <v>64</v>
      </c>
      <c r="F168" s="5">
        <v>63.03724928366762</v>
      </c>
      <c r="G168">
        <v>4.4000000000000004</v>
      </c>
      <c r="H168" s="3" t="s">
        <v>10</v>
      </c>
      <c r="I168" s="3" t="s">
        <v>11</v>
      </c>
      <c r="J168" s="3" t="s">
        <v>24</v>
      </c>
      <c r="K168" s="6" t="s">
        <v>24</v>
      </c>
      <c r="L168" t="s">
        <v>15</v>
      </c>
      <c r="M168" t="str">
        <f t="shared" si="6"/>
        <v>Portugal</v>
      </c>
      <c r="N168">
        <f t="shared" si="7"/>
        <v>276.80000000000007</v>
      </c>
      <c r="O168">
        <f t="shared" si="8"/>
        <v>558.40000000000009</v>
      </c>
    </row>
    <row r="169" spans="1:15" ht="15.6" x14ac:dyDescent="0.3">
      <c r="A169" s="3">
        <v>21276</v>
      </c>
      <c r="B169" s="4">
        <v>45274</v>
      </c>
      <c r="C169" t="s">
        <v>34</v>
      </c>
      <c r="D169" s="5">
        <v>7.375</v>
      </c>
      <c r="E169" s="5">
        <v>68</v>
      </c>
      <c r="F169" s="5">
        <v>67.796610169491515</v>
      </c>
      <c r="G169">
        <v>2.3499999999999996</v>
      </c>
      <c r="H169" s="3" t="s">
        <v>10</v>
      </c>
      <c r="I169" s="3" t="s">
        <v>11</v>
      </c>
      <c r="J169" s="3" t="s">
        <v>24</v>
      </c>
      <c r="K169" s="6" t="s">
        <v>24</v>
      </c>
      <c r="L169" t="s">
        <v>15</v>
      </c>
      <c r="M169" t="str">
        <f t="shared" si="6"/>
        <v>Portugal</v>
      </c>
      <c r="N169">
        <f t="shared" si="7"/>
        <v>341.70000000000005</v>
      </c>
      <c r="O169">
        <f t="shared" si="8"/>
        <v>501.5</v>
      </c>
    </row>
    <row r="170" spans="1:15" ht="15.6" x14ac:dyDescent="0.3">
      <c r="A170" s="3">
        <v>21278</v>
      </c>
      <c r="B170" s="4">
        <v>45274</v>
      </c>
      <c r="C170" t="s">
        <v>32</v>
      </c>
      <c r="D170" s="5">
        <v>12.475000000000001</v>
      </c>
      <c r="E170" s="5">
        <v>21</v>
      </c>
      <c r="F170" s="5">
        <v>20.040080160320638</v>
      </c>
      <c r="G170">
        <v>11.25</v>
      </c>
      <c r="H170" s="3" t="s">
        <v>10</v>
      </c>
      <c r="I170" s="3" t="s">
        <v>11</v>
      </c>
      <c r="J170" s="3" t="s">
        <v>24</v>
      </c>
      <c r="K170" s="6" t="s">
        <v>24</v>
      </c>
      <c r="L170" t="s">
        <v>15</v>
      </c>
      <c r="M170" t="str">
        <f t="shared" si="6"/>
        <v>Portugal</v>
      </c>
      <c r="N170">
        <f t="shared" si="7"/>
        <v>25.72500000000003</v>
      </c>
      <c r="O170">
        <f t="shared" si="8"/>
        <v>261.97500000000002</v>
      </c>
    </row>
    <row r="171" spans="1:15" ht="15.6" x14ac:dyDescent="0.3">
      <c r="A171" s="3">
        <v>21280</v>
      </c>
      <c r="B171" s="4">
        <v>45275</v>
      </c>
      <c r="C171" t="s">
        <v>36</v>
      </c>
      <c r="D171" s="5">
        <v>32.475000000000001</v>
      </c>
      <c r="E171" s="5">
        <v>54</v>
      </c>
      <c r="F171" s="5">
        <v>53.887605850654346</v>
      </c>
      <c r="G171">
        <v>21.6</v>
      </c>
      <c r="H171" s="3" t="s">
        <v>10</v>
      </c>
      <c r="I171" s="3" t="s">
        <v>11</v>
      </c>
      <c r="J171" s="3" t="s">
        <v>24</v>
      </c>
      <c r="K171" s="6" t="s">
        <v>24</v>
      </c>
      <c r="L171" t="s">
        <v>15</v>
      </c>
      <c r="M171" t="str">
        <f t="shared" si="6"/>
        <v>Portugal</v>
      </c>
      <c r="N171">
        <f t="shared" si="7"/>
        <v>587.25</v>
      </c>
      <c r="O171">
        <f t="shared" si="8"/>
        <v>1753.65</v>
      </c>
    </row>
    <row r="172" spans="1:15" ht="15.6" x14ac:dyDescent="0.3">
      <c r="A172" s="3">
        <v>21282</v>
      </c>
      <c r="B172" s="4">
        <v>45275</v>
      </c>
      <c r="C172" t="s">
        <v>35</v>
      </c>
      <c r="D172" s="5">
        <v>24.875</v>
      </c>
      <c r="E172" s="5">
        <v>23</v>
      </c>
      <c r="F172" s="5">
        <v>22.110552763819097</v>
      </c>
      <c r="G172">
        <v>14.25</v>
      </c>
      <c r="H172" s="3" t="s">
        <v>10</v>
      </c>
      <c r="I172" s="3" t="s">
        <v>11</v>
      </c>
      <c r="J172" s="3" t="s">
        <v>24</v>
      </c>
      <c r="K172" s="6" t="s">
        <v>24</v>
      </c>
      <c r="L172" t="s">
        <v>15</v>
      </c>
      <c r="M172" t="str">
        <f t="shared" si="6"/>
        <v>Portugal</v>
      </c>
      <c r="N172">
        <f t="shared" si="7"/>
        <v>244.375</v>
      </c>
      <c r="O172">
        <f t="shared" si="8"/>
        <v>572.125</v>
      </c>
    </row>
    <row r="173" spans="1:15" ht="15.6" x14ac:dyDescent="0.3">
      <c r="A173" s="3">
        <v>21284</v>
      </c>
      <c r="B173" s="4">
        <v>45275</v>
      </c>
      <c r="C173" t="s">
        <v>33</v>
      </c>
      <c r="D173" s="5">
        <v>8.7250000000000014</v>
      </c>
      <c r="E173" s="5">
        <v>64</v>
      </c>
      <c r="F173" s="5">
        <v>63.03724928366762</v>
      </c>
      <c r="G173">
        <v>4.4000000000000004</v>
      </c>
      <c r="H173" s="3" t="s">
        <v>10</v>
      </c>
      <c r="I173" s="3" t="s">
        <v>20</v>
      </c>
      <c r="J173" s="3" t="s">
        <v>24</v>
      </c>
      <c r="K173" s="6" t="s">
        <v>24</v>
      </c>
      <c r="L173" t="s">
        <v>15</v>
      </c>
      <c r="M173" t="str">
        <f t="shared" si="6"/>
        <v>Portugal</v>
      </c>
      <c r="N173">
        <f t="shared" si="7"/>
        <v>276.80000000000007</v>
      </c>
      <c r="O173">
        <f t="shared" si="8"/>
        <v>558.40000000000009</v>
      </c>
    </row>
    <row r="174" spans="1:15" ht="15.6" x14ac:dyDescent="0.3">
      <c r="A174" s="3">
        <v>21286</v>
      </c>
      <c r="B174" s="4">
        <v>45275</v>
      </c>
      <c r="C174" t="s">
        <v>34</v>
      </c>
      <c r="D174" s="5">
        <v>7.375</v>
      </c>
      <c r="E174" s="5">
        <v>68</v>
      </c>
      <c r="F174" s="5">
        <v>67.796610169491515</v>
      </c>
      <c r="G174">
        <v>2.3499999999999996</v>
      </c>
      <c r="H174" s="3" t="s">
        <v>10</v>
      </c>
      <c r="I174" s="3" t="s">
        <v>20</v>
      </c>
      <c r="J174" s="3" t="s">
        <v>24</v>
      </c>
      <c r="K174" s="6" t="s">
        <v>24</v>
      </c>
      <c r="L174" t="s">
        <v>15</v>
      </c>
      <c r="M174" t="str">
        <f t="shared" si="6"/>
        <v>Portugal</v>
      </c>
      <c r="N174">
        <f t="shared" si="7"/>
        <v>341.70000000000005</v>
      </c>
      <c r="O174">
        <f t="shared" si="8"/>
        <v>501.5</v>
      </c>
    </row>
    <row r="175" spans="1:15" ht="15.6" x14ac:dyDescent="0.3">
      <c r="A175" s="3">
        <v>21288</v>
      </c>
      <c r="B175" s="4">
        <v>45275</v>
      </c>
      <c r="C175" t="s">
        <v>32</v>
      </c>
      <c r="D175" s="5">
        <v>12.475000000000001</v>
      </c>
      <c r="E175" s="5">
        <v>21</v>
      </c>
      <c r="F175" s="5">
        <v>20.040080160320638</v>
      </c>
      <c r="G175">
        <v>11.25</v>
      </c>
      <c r="H175" s="3" t="s">
        <v>10</v>
      </c>
      <c r="I175" s="3" t="s">
        <v>20</v>
      </c>
      <c r="J175" s="3" t="s">
        <v>24</v>
      </c>
      <c r="K175" s="6" t="s">
        <v>24</v>
      </c>
      <c r="L175" t="s">
        <v>15</v>
      </c>
      <c r="M175" t="str">
        <f t="shared" si="6"/>
        <v>Portugal</v>
      </c>
      <c r="N175">
        <f t="shared" si="7"/>
        <v>25.72500000000003</v>
      </c>
      <c r="O175">
        <f t="shared" si="8"/>
        <v>261.97500000000002</v>
      </c>
    </row>
    <row r="176" spans="1:15" ht="15.6" x14ac:dyDescent="0.3">
      <c r="A176" s="3">
        <v>21290</v>
      </c>
      <c r="B176" s="4">
        <v>45276</v>
      </c>
      <c r="C176" t="s">
        <v>36</v>
      </c>
      <c r="D176" s="5">
        <v>32.475000000000001</v>
      </c>
      <c r="E176" s="5">
        <v>57</v>
      </c>
      <c r="F176" s="5">
        <v>56.96689761354888</v>
      </c>
      <c r="G176">
        <v>21.6</v>
      </c>
      <c r="H176" s="3" t="s">
        <v>10</v>
      </c>
      <c r="I176" s="3" t="s">
        <v>20</v>
      </c>
      <c r="J176" s="3" t="s">
        <v>24</v>
      </c>
      <c r="K176" s="6" t="s">
        <v>24</v>
      </c>
      <c r="L176" t="s">
        <v>15</v>
      </c>
      <c r="M176" t="str">
        <f t="shared" si="6"/>
        <v>Portugal</v>
      </c>
      <c r="N176">
        <f t="shared" si="7"/>
        <v>619.875</v>
      </c>
      <c r="O176">
        <f t="shared" si="8"/>
        <v>1851.075</v>
      </c>
    </row>
    <row r="177" spans="1:15" ht="15.6" x14ac:dyDescent="0.3">
      <c r="A177" s="3">
        <v>21292</v>
      </c>
      <c r="B177" s="4">
        <v>45276</v>
      </c>
      <c r="C177" t="s">
        <v>35</v>
      </c>
      <c r="D177" s="5">
        <v>24.875</v>
      </c>
      <c r="E177" s="5">
        <v>23</v>
      </c>
      <c r="F177" s="5">
        <v>22.110552763819097</v>
      </c>
      <c r="G177">
        <v>14.25</v>
      </c>
      <c r="H177" s="3" t="s">
        <v>10</v>
      </c>
      <c r="I177" s="3" t="s">
        <v>20</v>
      </c>
      <c r="J177" s="3" t="s">
        <v>24</v>
      </c>
      <c r="K177" s="6" t="s">
        <v>24</v>
      </c>
      <c r="L177" t="s">
        <v>15</v>
      </c>
      <c r="M177" t="str">
        <f t="shared" si="6"/>
        <v>Portugal</v>
      </c>
      <c r="N177">
        <f t="shared" si="7"/>
        <v>244.375</v>
      </c>
      <c r="O177">
        <f t="shared" si="8"/>
        <v>572.125</v>
      </c>
    </row>
    <row r="178" spans="1:15" ht="15.6" x14ac:dyDescent="0.3">
      <c r="A178" s="3">
        <v>21294</v>
      </c>
      <c r="B178" s="4">
        <v>45276</v>
      </c>
      <c r="C178" t="s">
        <v>33</v>
      </c>
      <c r="D178" s="5">
        <v>8.7250000000000014</v>
      </c>
      <c r="E178" s="5">
        <v>64</v>
      </c>
      <c r="F178" s="5">
        <v>63.03724928366762</v>
      </c>
      <c r="G178">
        <v>4.4000000000000004</v>
      </c>
      <c r="H178" s="3" t="s">
        <v>10</v>
      </c>
      <c r="I178" s="3" t="s">
        <v>11</v>
      </c>
      <c r="J178" s="3" t="s">
        <v>24</v>
      </c>
      <c r="K178" s="6" t="s">
        <v>24</v>
      </c>
      <c r="L178" t="s">
        <v>15</v>
      </c>
      <c r="M178" t="str">
        <f t="shared" si="6"/>
        <v>Portugal</v>
      </c>
      <c r="N178">
        <f t="shared" si="7"/>
        <v>276.80000000000007</v>
      </c>
      <c r="O178">
        <f t="shared" si="8"/>
        <v>558.40000000000009</v>
      </c>
    </row>
    <row r="179" spans="1:15" ht="15.6" x14ac:dyDescent="0.3">
      <c r="A179" s="3">
        <v>21296</v>
      </c>
      <c r="B179" s="4">
        <v>45276</v>
      </c>
      <c r="C179" t="s">
        <v>34</v>
      </c>
      <c r="D179" s="5">
        <v>7.375</v>
      </c>
      <c r="E179" s="5">
        <v>75</v>
      </c>
      <c r="F179" s="5">
        <v>74.576271186440664</v>
      </c>
      <c r="G179">
        <v>2.3499999999999996</v>
      </c>
      <c r="H179" s="3" t="s">
        <v>10</v>
      </c>
      <c r="I179" s="3" t="s">
        <v>11</v>
      </c>
      <c r="J179" s="3" t="s">
        <v>24</v>
      </c>
      <c r="K179" s="6" t="s">
        <v>24</v>
      </c>
      <c r="L179" t="s">
        <v>15</v>
      </c>
      <c r="M179" t="str">
        <f t="shared" si="6"/>
        <v>Portugal</v>
      </c>
      <c r="N179">
        <f t="shared" si="7"/>
        <v>376.875</v>
      </c>
      <c r="O179">
        <f t="shared" si="8"/>
        <v>553.125</v>
      </c>
    </row>
    <row r="180" spans="1:15" ht="15.6" x14ac:dyDescent="0.3">
      <c r="A180" s="3">
        <v>21298</v>
      </c>
      <c r="B180" s="4">
        <v>45276</v>
      </c>
      <c r="C180" t="s">
        <v>32</v>
      </c>
      <c r="D180" s="5">
        <v>12.475000000000001</v>
      </c>
      <c r="E180" s="5">
        <v>21</v>
      </c>
      <c r="F180" s="5">
        <v>20.040080160320638</v>
      </c>
      <c r="G180">
        <v>11.25</v>
      </c>
      <c r="H180" s="3" t="s">
        <v>10</v>
      </c>
      <c r="I180" s="3" t="s">
        <v>11</v>
      </c>
      <c r="J180" s="3" t="s">
        <v>24</v>
      </c>
      <c r="K180" s="6" t="s">
        <v>24</v>
      </c>
      <c r="L180" t="s">
        <v>15</v>
      </c>
      <c r="M180" t="str">
        <f t="shared" si="6"/>
        <v>Portugal</v>
      </c>
      <c r="N180">
        <f t="shared" si="7"/>
        <v>25.72500000000003</v>
      </c>
      <c r="O180">
        <f t="shared" si="8"/>
        <v>261.97500000000002</v>
      </c>
    </row>
    <row r="181" spans="1:15" ht="15.6" x14ac:dyDescent="0.3">
      <c r="A181" s="3">
        <v>21300</v>
      </c>
      <c r="B181" s="4">
        <v>45277</v>
      </c>
      <c r="C181" t="s">
        <v>36</v>
      </c>
      <c r="D181" s="5">
        <v>32.475000000000001</v>
      </c>
      <c r="E181" s="5">
        <v>59</v>
      </c>
      <c r="F181" s="5">
        <v>58.506543494996151</v>
      </c>
      <c r="G181">
        <v>21.6</v>
      </c>
      <c r="H181" s="3" t="s">
        <v>10</v>
      </c>
      <c r="I181" s="3" t="s">
        <v>11</v>
      </c>
      <c r="J181" s="3" t="s">
        <v>24</v>
      </c>
      <c r="K181" s="6" t="s">
        <v>24</v>
      </c>
      <c r="L181" t="s">
        <v>15</v>
      </c>
      <c r="M181" t="str">
        <f t="shared" si="6"/>
        <v>Portugal</v>
      </c>
      <c r="N181">
        <f t="shared" si="7"/>
        <v>641.625</v>
      </c>
      <c r="O181">
        <f t="shared" si="8"/>
        <v>1916.0250000000001</v>
      </c>
    </row>
    <row r="182" spans="1:15" ht="15.6" x14ac:dyDescent="0.3">
      <c r="A182" s="3">
        <v>21302</v>
      </c>
      <c r="B182" s="4">
        <v>45277</v>
      </c>
      <c r="C182" t="s">
        <v>35</v>
      </c>
      <c r="D182" s="5">
        <v>24.875</v>
      </c>
      <c r="E182" s="5">
        <v>23</v>
      </c>
      <c r="F182" s="5">
        <v>22.110552763819097</v>
      </c>
      <c r="G182">
        <v>14.25</v>
      </c>
      <c r="H182" s="3" t="s">
        <v>10</v>
      </c>
      <c r="I182" s="3" t="s">
        <v>11</v>
      </c>
      <c r="J182" s="3" t="s">
        <v>24</v>
      </c>
      <c r="K182" s="6" t="s">
        <v>24</v>
      </c>
      <c r="L182" t="s">
        <v>15</v>
      </c>
      <c r="M182" t="str">
        <f t="shared" si="6"/>
        <v>Portugal</v>
      </c>
      <c r="N182">
        <f t="shared" si="7"/>
        <v>244.375</v>
      </c>
      <c r="O182">
        <f t="shared" si="8"/>
        <v>572.125</v>
      </c>
    </row>
    <row r="183" spans="1:15" ht="15.6" x14ac:dyDescent="0.3">
      <c r="A183" s="3">
        <v>21304</v>
      </c>
      <c r="B183" s="4">
        <v>45277</v>
      </c>
      <c r="C183" t="s">
        <v>33</v>
      </c>
      <c r="D183" s="5">
        <v>8.7250000000000014</v>
      </c>
      <c r="E183" s="5">
        <v>69</v>
      </c>
      <c r="F183" s="5">
        <v>68.767908309455578</v>
      </c>
      <c r="G183">
        <v>4.4000000000000004</v>
      </c>
      <c r="H183" s="3" t="s">
        <v>10</v>
      </c>
      <c r="I183" s="3" t="s">
        <v>11</v>
      </c>
      <c r="J183" s="3" t="s">
        <v>24</v>
      </c>
      <c r="K183" s="6" t="s">
        <v>24</v>
      </c>
      <c r="L183" t="s">
        <v>15</v>
      </c>
      <c r="M183" t="str">
        <f t="shared" si="6"/>
        <v>Portugal</v>
      </c>
      <c r="N183">
        <f t="shared" si="7"/>
        <v>298.42500000000007</v>
      </c>
      <c r="O183">
        <f t="shared" si="8"/>
        <v>602.02500000000009</v>
      </c>
    </row>
    <row r="184" spans="1:15" ht="15.6" x14ac:dyDescent="0.3">
      <c r="A184" s="3">
        <v>21306</v>
      </c>
      <c r="B184" s="4">
        <v>45277</v>
      </c>
      <c r="C184" t="s">
        <v>34</v>
      </c>
      <c r="D184" s="5">
        <v>7.375</v>
      </c>
      <c r="E184" s="5">
        <v>75</v>
      </c>
      <c r="F184" s="5">
        <v>74.576271186440664</v>
      </c>
      <c r="G184">
        <v>2.3499999999999996</v>
      </c>
      <c r="H184" s="3" t="s">
        <v>10</v>
      </c>
      <c r="I184" s="3" t="s">
        <v>11</v>
      </c>
      <c r="J184" s="3" t="s">
        <v>24</v>
      </c>
      <c r="K184" s="6" t="s">
        <v>24</v>
      </c>
      <c r="L184" t="s">
        <v>15</v>
      </c>
      <c r="M184" t="str">
        <f t="shared" si="6"/>
        <v>Portugal</v>
      </c>
      <c r="N184">
        <f t="shared" si="7"/>
        <v>376.875</v>
      </c>
      <c r="O184">
        <f t="shared" si="8"/>
        <v>553.125</v>
      </c>
    </row>
    <row r="185" spans="1:15" ht="15.6" x14ac:dyDescent="0.3">
      <c r="A185" s="3">
        <v>21308</v>
      </c>
      <c r="B185" s="4">
        <v>45277</v>
      </c>
      <c r="C185" t="s">
        <v>32</v>
      </c>
      <c r="D185" s="5">
        <v>12.475000000000001</v>
      </c>
      <c r="E185" s="5">
        <v>21</v>
      </c>
      <c r="F185" s="5">
        <v>20.040080160320638</v>
      </c>
      <c r="G185">
        <v>11.25</v>
      </c>
      <c r="H185" s="3" t="s">
        <v>10</v>
      </c>
      <c r="I185" s="3" t="s">
        <v>11</v>
      </c>
      <c r="J185" s="3" t="s">
        <v>24</v>
      </c>
      <c r="K185" s="6" t="s">
        <v>24</v>
      </c>
      <c r="L185" t="s">
        <v>15</v>
      </c>
      <c r="M185" t="str">
        <f t="shared" si="6"/>
        <v>Portugal</v>
      </c>
      <c r="N185">
        <f t="shared" si="7"/>
        <v>25.72500000000003</v>
      </c>
      <c r="O185">
        <f t="shared" si="8"/>
        <v>261.97500000000002</v>
      </c>
    </row>
    <row r="186" spans="1:15" ht="15.6" x14ac:dyDescent="0.3">
      <c r="A186" s="3">
        <v>21310</v>
      </c>
      <c r="B186" s="4">
        <v>45278</v>
      </c>
      <c r="C186" t="s">
        <v>36</v>
      </c>
      <c r="D186" s="5">
        <v>32.475000000000001</v>
      </c>
      <c r="E186" s="5">
        <v>61</v>
      </c>
      <c r="F186" s="5">
        <v>60.046189376443422</v>
      </c>
      <c r="G186">
        <v>21.6</v>
      </c>
      <c r="H186" s="3" t="s">
        <v>10</v>
      </c>
      <c r="I186" s="3" t="s">
        <v>11</v>
      </c>
      <c r="J186" s="3" t="s">
        <v>24</v>
      </c>
      <c r="K186" s="6" t="s">
        <v>24</v>
      </c>
      <c r="L186" t="s">
        <v>15</v>
      </c>
      <c r="M186" t="str">
        <f t="shared" si="6"/>
        <v>Portugal</v>
      </c>
      <c r="N186">
        <f t="shared" si="7"/>
        <v>663.375</v>
      </c>
      <c r="O186">
        <f t="shared" si="8"/>
        <v>1980.9750000000001</v>
      </c>
    </row>
    <row r="187" spans="1:15" ht="15.6" x14ac:dyDescent="0.3">
      <c r="A187" s="3">
        <v>21312</v>
      </c>
      <c r="B187" s="4">
        <v>45278</v>
      </c>
      <c r="C187" t="s">
        <v>35</v>
      </c>
      <c r="D187" s="5">
        <v>24.875</v>
      </c>
      <c r="E187" s="5">
        <v>23</v>
      </c>
      <c r="F187" s="5">
        <v>22.110552763819097</v>
      </c>
      <c r="G187">
        <v>14.25</v>
      </c>
      <c r="H187" s="3" t="s">
        <v>10</v>
      </c>
      <c r="I187" s="3" t="s">
        <v>11</v>
      </c>
      <c r="J187" s="3" t="s">
        <v>24</v>
      </c>
      <c r="K187" s="6" t="s">
        <v>24</v>
      </c>
      <c r="L187" t="s">
        <v>15</v>
      </c>
      <c r="M187" t="str">
        <f t="shared" si="6"/>
        <v>Portugal</v>
      </c>
      <c r="N187">
        <f t="shared" si="7"/>
        <v>244.375</v>
      </c>
      <c r="O187">
        <f t="shared" si="8"/>
        <v>572.125</v>
      </c>
    </row>
    <row r="188" spans="1:15" ht="15.6" x14ac:dyDescent="0.3">
      <c r="A188" s="3">
        <v>21314</v>
      </c>
      <c r="B188" s="4">
        <v>45278</v>
      </c>
      <c r="C188" t="s">
        <v>33</v>
      </c>
      <c r="D188" s="5">
        <v>8.7250000000000014</v>
      </c>
      <c r="E188" s="5">
        <v>69</v>
      </c>
      <c r="F188" s="5">
        <v>68.767908309455578</v>
      </c>
      <c r="G188">
        <v>4.4000000000000004</v>
      </c>
      <c r="H188" s="3" t="s">
        <v>10</v>
      </c>
      <c r="I188" s="3" t="s">
        <v>11</v>
      </c>
      <c r="J188" s="3" t="s">
        <v>24</v>
      </c>
      <c r="K188" s="6" t="s">
        <v>24</v>
      </c>
      <c r="L188" t="s">
        <v>15</v>
      </c>
      <c r="M188" t="str">
        <f t="shared" si="6"/>
        <v>Portugal</v>
      </c>
      <c r="N188">
        <f t="shared" si="7"/>
        <v>298.42500000000007</v>
      </c>
      <c r="O188">
        <f t="shared" si="8"/>
        <v>602.02500000000009</v>
      </c>
    </row>
    <row r="189" spans="1:15" ht="15.6" x14ac:dyDescent="0.3">
      <c r="A189" s="3">
        <v>21316</v>
      </c>
      <c r="B189" s="4">
        <v>45278</v>
      </c>
      <c r="C189" t="s">
        <v>34</v>
      </c>
      <c r="D189" s="5">
        <v>7.375</v>
      </c>
      <c r="E189" s="5">
        <v>75</v>
      </c>
      <c r="F189" s="5">
        <v>74.576271186440664</v>
      </c>
      <c r="G189">
        <v>2.3499999999999996</v>
      </c>
      <c r="H189" s="3" t="s">
        <v>10</v>
      </c>
      <c r="I189" s="3" t="s">
        <v>20</v>
      </c>
      <c r="J189" s="3" t="s">
        <v>24</v>
      </c>
      <c r="K189" s="6" t="s">
        <v>24</v>
      </c>
      <c r="L189" t="s">
        <v>15</v>
      </c>
      <c r="M189" t="str">
        <f t="shared" si="6"/>
        <v>Portugal</v>
      </c>
      <c r="N189">
        <f t="shared" si="7"/>
        <v>376.875</v>
      </c>
      <c r="O189">
        <f t="shared" si="8"/>
        <v>553.125</v>
      </c>
    </row>
    <row r="190" spans="1:15" ht="15.6" x14ac:dyDescent="0.3">
      <c r="A190" s="3">
        <v>21318</v>
      </c>
      <c r="B190" s="4">
        <v>45278</v>
      </c>
      <c r="C190" t="s">
        <v>32</v>
      </c>
      <c r="D190" s="5">
        <v>12.475000000000001</v>
      </c>
      <c r="E190" s="5">
        <v>21</v>
      </c>
      <c r="F190" s="5">
        <v>20.040080160320638</v>
      </c>
      <c r="G190">
        <v>11.25</v>
      </c>
      <c r="H190" s="3" t="s">
        <v>10</v>
      </c>
      <c r="I190" s="3" t="s">
        <v>20</v>
      </c>
      <c r="J190" s="3" t="s">
        <v>24</v>
      </c>
      <c r="K190" s="6" t="s">
        <v>24</v>
      </c>
      <c r="L190" t="s">
        <v>15</v>
      </c>
      <c r="M190" t="str">
        <f t="shared" si="6"/>
        <v>Portugal</v>
      </c>
      <c r="N190">
        <f t="shared" si="7"/>
        <v>25.72500000000003</v>
      </c>
      <c r="O190">
        <f t="shared" si="8"/>
        <v>261.97500000000002</v>
      </c>
    </row>
    <row r="191" spans="1:15" ht="15.6" x14ac:dyDescent="0.3">
      <c r="A191" s="3">
        <v>21320</v>
      </c>
      <c r="B191" s="4">
        <v>45279</v>
      </c>
      <c r="C191" t="s">
        <v>36</v>
      </c>
      <c r="D191" s="5">
        <v>32.475000000000001</v>
      </c>
      <c r="E191" s="5">
        <v>64</v>
      </c>
      <c r="F191" s="5">
        <v>63.125481139337957</v>
      </c>
      <c r="G191">
        <v>21.6</v>
      </c>
      <c r="H191" s="3" t="s">
        <v>14</v>
      </c>
      <c r="I191" s="3" t="s">
        <v>20</v>
      </c>
      <c r="J191" s="3" t="s">
        <v>24</v>
      </c>
      <c r="K191" s="6" t="s">
        <v>24</v>
      </c>
      <c r="L191" t="s">
        <v>15</v>
      </c>
      <c r="M191" t="str">
        <f t="shared" si="6"/>
        <v>Portugal</v>
      </c>
      <c r="N191">
        <f t="shared" si="7"/>
        <v>696</v>
      </c>
      <c r="O191">
        <f t="shared" si="8"/>
        <v>2078.4</v>
      </c>
    </row>
    <row r="192" spans="1:15" ht="15.6" x14ac:dyDescent="0.3">
      <c r="A192" s="3">
        <v>21322</v>
      </c>
      <c r="B192" s="4">
        <v>45279</v>
      </c>
      <c r="C192" t="s">
        <v>35</v>
      </c>
      <c r="D192" s="5">
        <v>24.875</v>
      </c>
      <c r="E192" s="5">
        <v>23</v>
      </c>
      <c r="F192" s="5">
        <v>22.110552763819097</v>
      </c>
      <c r="G192">
        <v>14.25</v>
      </c>
      <c r="H192" s="3" t="s">
        <v>14</v>
      </c>
      <c r="I192" s="3" t="s">
        <v>20</v>
      </c>
      <c r="J192" s="3" t="s">
        <v>24</v>
      </c>
      <c r="K192" s="6" t="s">
        <v>24</v>
      </c>
      <c r="L192" t="s">
        <v>15</v>
      </c>
      <c r="M192" t="str">
        <f t="shared" si="6"/>
        <v>Portugal</v>
      </c>
      <c r="N192">
        <f t="shared" si="7"/>
        <v>244.375</v>
      </c>
      <c r="O192">
        <f t="shared" si="8"/>
        <v>572.125</v>
      </c>
    </row>
    <row r="193" spans="1:15" ht="15.6" x14ac:dyDescent="0.3">
      <c r="A193" s="3">
        <v>21324</v>
      </c>
      <c r="B193" s="4">
        <v>45279</v>
      </c>
      <c r="C193" t="s">
        <v>33</v>
      </c>
      <c r="D193" s="5">
        <v>8.7250000000000014</v>
      </c>
      <c r="E193" s="5">
        <v>64</v>
      </c>
      <c r="F193" s="5">
        <v>63.03724928366762</v>
      </c>
      <c r="G193">
        <v>4.4000000000000004</v>
      </c>
      <c r="H193" s="3" t="s">
        <v>14</v>
      </c>
      <c r="I193" s="3" t="s">
        <v>20</v>
      </c>
      <c r="J193" s="3" t="s">
        <v>24</v>
      </c>
      <c r="K193" s="6" t="s">
        <v>24</v>
      </c>
      <c r="L193" t="s">
        <v>15</v>
      </c>
      <c r="M193" t="str">
        <f t="shared" si="6"/>
        <v>Portugal</v>
      </c>
      <c r="N193">
        <f t="shared" si="7"/>
        <v>276.80000000000007</v>
      </c>
      <c r="O193">
        <f t="shared" si="8"/>
        <v>558.40000000000009</v>
      </c>
    </row>
    <row r="194" spans="1:15" ht="15.6" x14ac:dyDescent="0.3">
      <c r="A194" s="3">
        <v>21326</v>
      </c>
      <c r="B194" s="4">
        <v>45279</v>
      </c>
      <c r="C194" t="s">
        <v>34</v>
      </c>
      <c r="D194" s="5">
        <v>7.375</v>
      </c>
      <c r="E194" s="5">
        <v>75</v>
      </c>
      <c r="F194" s="5">
        <v>74.576271186440664</v>
      </c>
      <c r="G194">
        <v>2.3499999999999996</v>
      </c>
      <c r="H194" s="3" t="s">
        <v>14</v>
      </c>
      <c r="I194" s="3" t="s">
        <v>20</v>
      </c>
      <c r="J194" s="3" t="s">
        <v>24</v>
      </c>
      <c r="K194" s="6" t="s">
        <v>24</v>
      </c>
      <c r="L194" t="s">
        <v>15</v>
      </c>
      <c r="M194" t="str">
        <f t="shared" ref="M194:M244" si="9">IF(L194="London","UK",
IF(L194="Madrid","Spain",
IF(L194="Paris","France",
IF(L194="Berlin","Germany",
IF(L194="Lisbon","Portugal","")))))</f>
        <v>Portugal</v>
      </c>
      <c r="N194">
        <f t="shared" si="7"/>
        <v>376.875</v>
      </c>
      <c r="O194">
        <f t="shared" si="8"/>
        <v>553.125</v>
      </c>
    </row>
    <row r="195" spans="1:15" ht="15.6" x14ac:dyDescent="0.3">
      <c r="A195" s="3">
        <v>21328</v>
      </c>
      <c r="B195" s="4">
        <v>45279</v>
      </c>
      <c r="C195" t="s">
        <v>32</v>
      </c>
      <c r="D195" s="5">
        <v>12.475000000000001</v>
      </c>
      <c r="E195" s="5">
        <v>21</v>
      </c>
      <c r="F195" s="5">
        <v>20.040080160320638</v>
      </c>
      <c r="G195">
        <v>11.25</v>
      </c>
      <c r="H195" s="3" t="s">
        <v>14</v>
      </c>
      <c r="I195" s="3" t="s">
        <v>20</v>
      </c>
      <c r="J195" s="3" t="s">
        <v>24</v>
      </c>
      <c r="K195" s="6" t="s">
        <v>24</v>
      </c>
      <c r="L195" t="s">
        <v>15</v>
      </c>
      <c r="M195" t="str">
        <f t="shared" si="9"/>
        <v>Portugal</v>
      </c>
      <c r="N195">
        <f t="shared" ref="N195:N244" si="10">(D195-G195)*E195</f>
        <v>25.72500000000003</v>
      </c>
      <c r="O195">
        <f t="shared" ref="O195:O244" si="11">D195*E195</f>
        <v>261.97500000000002</v>
      </c>
    </row>
    <row r="196" spans="1:15" ht="15.6" x14ac:dyDescent="0.3">
      <c r="A196" s="3">
        <v>21330</v>
      </c>
      <c r="B196" s="4">
        <v>45280</v>
      </c>
      <c r="C196" t="s">
        <v>36</v>
      </c>
      <c r="D196" s="5">
        <v>32.475000000000001</v>
      </c>
      <c r="E196" s="5">
        <v>65</v>
      </c>
      <c r="F196" s="5">
        <v>64.665127020785221</v>
      </c>
      <c r="G196">
        <v>21.6</v>
      </c>
      <c r="H196" s="3" t="s">
        <v>14</v>
      </c>
      <c r="I196" s="3" t="s">
        <v>20</v>
      </c>
      <c r="J196" s="3" t="s">
        <v>24</v>
      </c>
      <c r="K196" s="6" t="s">
        <v>24</v>
      </c>
      <c r="L196" t="s">
        <v>15</v>
      </c>
      <c r="M196" t="str">
        <f t="shared" si="9"/>
        <v>Portugal</v>
      </c>
      <c r="N196">
        <f t="shared" si="10"/>
        <v>706.875</v>
      </c>
      <c r="O196">
        <f t="shared" si="11"/>
        <v>2110.875</v>
      </c>
    </row>
    <row r="197" spans="1:15" ht="15.6" x14ac:dyDescent="0.3">
      <c r="A197" s="3">
        <v>21332</v>
      </c>
      <c r="B197" s="4">
        <v>45280</v>
      </c>
      <c r="C197" t="s">
        <v>35</v>
      </c>
      <c r="D197" s="5">
        <v>24.875</v>
      </c>
      <c r="E197" s="5">
        <v>23</v>
      </c>
      <c r="F197" s="5">
        <v>22.110552763819097</v>
      </c>
      <c r="G197">
        <v>14.25</v>
      </c>
      <c r="H197" s="3" t="s">
        <v>14</v>
      </c>
      <c r="I197" s="3" t="s">
        <v>20</v>
      </c>
      <c r="J197" s="3" t="s">
        <v>24</v>
      </c>
      <c r="K197" s="6" t="s">
        <v>24</v>
      </c>
      <c r="L197" t="s">
        <v>15</v>
      </c>
      <c r="M197" t="str">
        <f t="shared" si="9"/>
        <v>Portugal</v>
      </c>
      <c r="N197">
        <f t="shared" si="10"/>
        <v>244.375</v>
      </c>
      <c r="O197">
        <f t="shared" si="11"/>
        <v>572.125</v>
      </c>
    </row>
    <row r="198" spans="1:15" ht="15.6" x14ac:dyDescent="0.3">
      <c r="A198" s="3">
        <v>21334</v>
      </c>
      <c r="B198" s="4">
        <v>45280</v>
      </c>
      <c r="C198" t="s">
        <v>33</v>
      </c>
      <c r="D198" s="5">
        <v>8.7250000000000014</v>
      </c>
      <c r="E198" s="5">
        <v>64</v>
      </c>
      <c r="F198" s="5">
        <v>63.03724928366762</v>
      </c>
      <c r="G198">
        <v>4.4000000000000004</v>
      </c>
      <c r="H198" s="3" t="s">
        <v>14</v>
      </c>
      <c r="I198" s="3" t="s">
        <v>20</v>
      </c>
      <c r="J198" s="3" t="s">
        <v>24</v>
      </c>
      <c r="K198" s="6" t="s">
        <v>24</v>
      </c>
      <c r="L198" t="s">
        <v>15</v>
      </c>
      <c r="M198" t="str">
        <f t="shared" si="9"/>
        <v>Portugal</v>
      </c>
      <c r="N198">
        <f t="shared" si="10"/>
        <v>276.80000000000007</v>
      </c>
      <c r="O198">
        <f t="shared" si="11"/>
        <v>558.40000000000009</v>
      </c>
    </row>
    <row r="199" spans="1:15" ht="15.6" x14ac:dyDescent="0.3">
      <c r="A199" s="3">
        <v>21336</v>
      </c>
      <c r="B199" s="4">
        <v>45280</v>
      </c>
      <c r="C199" t="s">
        <v>34</v>
      </c>
      <c r="D199" s="5">
        <v>7.375</v>
      </c>
      <c r="E199" s="5">
        <v>75</v>
      </c>
      <c r="F199" s="5">
        <v>74.576271186440664</v>
      </c>
      <c r="G199">
        <v>2.3499999999999996</v>
      </c>
      <c r="H199" s="3" t="s">
        <v>14</v>
      </c>
      <c r="I199" s="3" t="s">
        <v>20</v>
      </c>
      <c r="J199" s="3" t="s">
        <v>24</v>
      </c>
      <c r="K199" s="6" t="s">
        <v>24</v>
      </c>
      <c r="L199" t="s">
        <v>15</v>
      </c>
      <c r="M199" t="str">
        <f t="shared" si="9"/>
        <v>Portugal</v>
      </c>
      <c r="N199">
        <f t="shared" si="10"/>
        <v>376.875</v>
      </c>
      <c r="O199">
        <f t="shared" si="11"/>
        <v>553.125</v>
      </c>
    </row>
    <row r="200" spans="1:15" ht="15.6" x14ac:dyDescent="0.3">
      <c r="A200" s="3">
        <v>21338</v>
      </c>
      <c r="B200" s="4">
        <v>45280</v>
      </c>
      <c r="C200" t="s">
        <v>32</v>
      </c>
      <c r="D200" s="5">
        <v>12.475000000000001</v>
      </c>
      <c r="E200" s="5">
        <v>21</v>
      </c>
      <c r="F200" s="5">
        <v>20.040080160320638</v>
      </c>
      <c r="G200">
        <v>11.25</v>
      </c>
      <c r="H200" s="3" t="s">
        <v>14</v>
      </c>
      <c r="I200" s="3" t="s">
        <v>20</v>
      </c>
      <c r="J200" s="3" t="s">
        <v>24</v>
      </c>
      <c r="K200" s="6" t="s">
        <v>24</v>
      </c>
      <c r="L200" t="s">
        <v>15</v>
      </c>
      <c r="M200" t="str">
        <f t="shared" si="9"/>
        <v>Portugal</v>
      </c>
      <c r="N200">
        <f t="shared" si="10"/>
        <v>25.72500000000003</v>
      </c>
      <c r="O200">
        <f t="shared" si="11"/>
        <v>261.97500000000002</v>
      </c>
    </row>
    <row r="201" spans="1:15" ht="15.6" x14ac:dyDescent="0.3">
      <c r="A201" s="3">
        <v>21340</v>
      </c>
      <c r="B201" s="4">
        <v>45281</v>
      </c>
      <c r="C201" t="s">
        <v>36</v>
      </c>
      <c r="D201" s="5">
        <v>32.475000000000001</v>
      </c>
      <c r="E201" s="5">
        <v>68</v>
      </c>
      <c r="F201" s="5">
        <v>67.744418783679748</v>
      </c>
      <c r="G201">
        <v>21.6</v>
      </c>
      <c r="H201" s="3" t="s">
        <v>14</v>
      </c>
      <c r="I201" s="3" t="s">
        <v>20</v>
      </c>
      <c r="J201" s="3" t="s">
        <v>24</v>
      </c>
      <c r="K201" s="6" t="s">
        <v>24</v>
      </c>
      <c r="L201" t="s">
        <v>15</v>
      </c>
      <c r="M201" t="str">
        <f t="shared" si="9"/>
        <v>Portugal</v>
      </c>
      <c r="N201">
        <f t="shared" si="10"/>
        <v>739.5</v>
      </c>
      <c r="O201">
        <f t="shared" si="11"/>
        <v>2208.3000000000002</v>
      </c>
    </row>
    <row r="202" spans="1:15" ht="15.6" x14ac:dyDescent="0.3">
      <c r="A202" s="3">
        <v>21342</v>
      </c>
      <c r="B202" s="4">
        <v>45281</v>
      </c>
      <c r="C202" t="s">
        <v>35</v>
      </c>
      <c r="D202" s="5">
        <v>24.875</v>
      </c>
      <c r="E202" s="5">
        <v>23</v>
      </c>
      <c r="F202" s="5">
        <v>22.110552763819097</v>
      </c>
      <c r="G202">
        <v>14.25</v>
      </c>
      <c r="H202" s="3" t="s">
        <v>14</v>
      </c>
      <c r="I202" s="3" t="s">
        <v>20</v>
      </c>
      <c r="J202" s="3" t="s">
        <v>24</v>
      </c>
      <c r="K202" s="6" t="s">
        <v>24</v>
      </c>
      <c r="L202" t="s">
        <v>15</v>
      </c>
      <c r="M202" t="str">
        <f t="shared" si="9"/>
        <v>Portugal</v>
      </c>
      <c r="N202">
        <f t="shared" si="10"/>
        <v>244.375</v>
      </c>
      <c r="O202">
        <f t="shared" si="11"/>
        <v>572.125</v>
      </c>
    </row>
    <row r="203" spans="1:15" ht="15.6" x14ac:dyDescent="0.3">
      <c r="A203" s="3">
        <v>21344</v>
      </c>
      <c r="B203" s="4">
        <v>45281</v>
      </c>
      <c r="C203" t="s">
        <v>33</v>
      </c>
      <c r="D203" s="5">
        <v>8.7250000000000014</v>
      </c>
      <c r="E203" s="5">
        <v>64</v>
      </c>
      <c r="F203" s="5">
        <v>63.03724928366762</v>
      </c>
      <c r="G203">
        <v>4.4000000000000004</v>
      </c>
      <c r="H203" s="3" t="s">
        <v>14</v>
      </c>
      <c r="I203" s="3" t="s">
        <v>20</v>
      </c>
      <c r="J203" s="3" t="s">
        <v>24</v>
      </c>
      <c r="K203" s="6" t="s">
        <v>24</v>
      </c>
      <c r="L203" t="s">
        <v>15</v>
      </c>
      <c r="M203" t="str">
        <f t="shared" si="9"/>
        <v>Portugal</v>
      </c>
      <c r="N203">
        <f t="shared" si="10"/>
        <v>276.80000000000007</v>
      </c>
      <c r="O203">
        <f t="shared" si="11"/>
        <v>558.40000000000009</v>
      </c>
    </row>
    <row r="204" spans="1:15" ht="15.6" x14ac:dyDescent="0.3">
      <c r="A204" s="3">
        <v>21346</v>
      </c>
      <c r="B204" s="4">
        <v>45281</v>
      </c>
      <c r="C204" t="s">
        <v>34</v>
      </c>
      <c r="D204" s="5">
        <v>7.375</v>
      </c>
      <c r="E204" s="5">
        <v>75</v>
      </c>
      <c r="F204" s="5">
        <v>74.576271186440664</v>
      </c>
      <c r="G204">
        <v>2.3499999999999996</v>
      </c>
      <c r="H204" s="3" t="s">
        <v>14</v>
      </c>
      <c r="I204" s="3" t="s">
        <v>20</v>
      </c>
      <c r="J204" s="3" t="s">
        <v>24</v>
      </c>
      <c r="K204" s="6" t="s">
        <v>24</v>
      </c>
      <c r="L204" t="s">
        <v>15</v>
      </c>
      <c r="M204" t="str">
        <f t="shared" si="9"/>
        <v>Portugal</v>
      </c>
      <c r="N204">
        <f t="shared" si="10"/>
        <v>376.875</v>
      </c>
      <c r="O204">
        <f t="shared" si="11"/>
        <v>553.125</v>
      </c>
    </row>
    <row r="205" spans="1:15" ht="15.6" x14ac:dyDescent="0.3">
      <c r="A205" s="3">
        <v>21348</v>
      </c>
      <c r="B205" s="4">
        <v>45281</v>
      </c>
      <c r="C205" t="s">
        <v>32</v>
      </c>
      <c r="D205" s="5">
        <v>12.475000000000001</v>
      </c>
      <c r="E205" s="5">
        <v>21</v>
      </c>
      <c r="F205" s="5">
        <v>20.040080160320638</v>
      </c>
      <c r="G205">
        <v>11.25</v>
      </c>
      <c r="H205" s="3" t="s">
        <v>14</v>
      </c>
      <c r="I205" s="3" t="s">
        <v>20</v>
      </c>
      <c r="J205" s="3" t="s">
        <v>24</v>
      </c>
      <c r="K205" s="6" t="s">
        <v>24</v>
      </c>
      <c r="L205" t="s">
        <v>15</v>
      </c>
      <c r="M205" t="str">
        <f t="shared" si="9"/>
        <v>Portugal</v>
      </c>
      <c r="N205">
        <f t="shared" si="10"/>
        <v>25.72500000000003</v>
      </c>
      <c r="O205">
        <f t="shared" si="11"/>
        <v>261.97500000000002</v>
      </c>
    </row>
    <row r="206" spans="1:15" ht="15.6" x14ac:dyDescent="0.3">
      <c r="A206" s="3">
        <v>21350</v>
      </c>
      <c r="B206" s="4">
        <v>45282</v>
      </c>
      <c r="C206" t="s">
        <v>36</v>
      </c>
      <c r="D206" s="5">
        <v>32.475000000000001</v>
      </c>
      <c r="E206" s="5">
        <v>68</v>
      </c>
      <c r="F206" s="5">
        <v>67.744418783679748</v>
      </c>
      <c r="G206">
        <v>21.6</v>
      </c>
      <c r="H206" s="3" t="s">
        <v>14</v>
      </c>
      <c r="I206" s="3" t="s">
        <v>20</v>
      </c>
      <c r="J206" s="3" t="s">
        <v>24</v>
      </c>
      <c r="K206" s="6" t="s">
        <v>24</v>
      </c>
      <c r="L206" t="s">
        <v>15</v>
      </c>
      <c r="M206" t="str">
        <f t="shared" si="9"/>
        <v>Portugal</v>
      </c>
      <c r="N206">
        <f t="shared" si="10"/>
        <v>739.5</v>
      </c>
      <c r="O206">
        <f t="shared" si="11"/>
        <v>2208.3000000000002</v>
      </c>
    </row>
    <row r="207" spans="1:15" ht="15.6" x14ac:dyDescent="0.3">
      <c r="A207" s="3">
        <v>21352</v>
      </c>
      <c r="B207" s="4">
        <v>45282</v>
      </c>
      <c r="C207" t="s">
        <v>35</v>
      </c>
      <c r="D207" s="5">
        <v>24.875</v>
      </c>
      <c r="E207" s="5">
        <v>25</v>
      </c>
      <c r="F207" s="5">
        <v>24.120603015075382</v>
      </c>
      <c r="G207">
        <v>14.25</v>
      </c>
      <c r="H207" s="3" t="s">
        <v>14</v>
      </c>
      <c r="I207" s="3" t="s">
        <v>20</v>
      </c>
      <c r="J207" s="3" t="s">
        <v>24</v>
      </c>
      <c r="K207" s="6" t="s">
        <v>24</v>
      </c>
      <c r="L207" t="s">
        <v>15</v>
      </c>
      <c r="M207" t="str">
        <f t="shared" si="9"/>
        <v>Portugal</v>
      </c>
      <c r="N207">
        <f t="shared" si="10"/>
        <v>265.625</v>
      </c>
      <c r="O207">
        <f t="shared" si="11"/>
        <v>621.875</v>
      </c>
    </row>
    <row r="208" spans="1:15" ht="15.6" x14ac:dyDescent="0.3">
      <c r="A208" s="3">
        <v>21354</v>
      </c>
      <c r="B208" s="4">
        <v>45282</v>
      </c>
      <c r="C208" t="s">
        <v>33</v>
      </c>
      <c r="D208" s="5">
        <v>8.7250000000000014</v>
      </c>
      <c r="E208" s="5">
        <v>64</v>
      </c>
      <c r="F208" s="5">
        <v>63.03724928366762</v>
      </c>
      <c r="G208">
        <v>4.4000000000000004</v>
      </c>
      <c r="H208" s="3" t="s">
        <v>14</v>
      </c>
      <c r="I208" s="3" t="s">
        <v>20</v>
      </c>
      <c r="J208" s="3" t="s">
        <v>24</v>
      </c>
      <c r="K208" s="6" t="s">
        <v>24</v>
      </c>
      <c r="L208" t="s">
        <v>15</v>
      </c>
      <c r="M208" t="str">
        <f t="shared" si="9"/>
        <v>Portugal</v>
      </c>
      <c r="N208">
        <f t="shared" si="10"/>
        <v>276.80000000000007</v>
      </c>
      <c r="O208">
        <f t="shared" si="11"/>
        <v>558.40000000000009</v>
      </c>
    </row>
    <row r="209" spans="1:15" ht="15.6" x14ac:dyDescent="0.3">
      <c r="A209" s="3">
        <v>21356</v>
      </c>
      <c r="B209" s="4">
        <v>45282</v>
      </c>
      <c r="C209" t="s">
        <v>34</v>
      </c>
      <c r="D209" s="5">
        <v>7.375</v>
      </c>
      <c r="E209" s="5">
        <v>75</v>
      </c>
      <c r="F209" s="5">
        <v>74.576271186440664</v>
      </c>
      <c r="G209">
        <v>2.3499999999999996</v>
      </c>
      <c r="H209" s="3" t="s">
        <v>14</v>
      </c>
      <c r="I209" s="3" t="s">
        <v>20</v>
      </c>
      <c r="J209" s="3" t="s">
        <v>24</v>
      </c>
      <c r="K209" s="6" t="s">
        <v>24</v>
      </c>
      <c r="L209" t="s">
        <v>15</v>
      </c>
      <c r="M209" t="str">
        <f t="shared" si="9"/>
        <v>Portugal</v>
      </c>
      <c r="N209">
        <f t="shared" si="10"/>
        <v>376.875</v>
      </c>
      <c r="O209">
        <f t="shared" si="11"/>
        <v>553.125</v>
      </c>
    </row>
    <row r="210" spans="1:15" ht="15.6" x14ac:dyDescent="0.3">
      <c r="A210" s="3">
        <v>21358</v>
      </c>
      <c r="B210" s="4">
        <v>45282</v>
      </c>
      <c r="C210" t="s">
        <v>32</v>
      </c>
      <c r="D210" s="5">
        <v>12.475000000000001</v>
      </c>
      <c r="E210" s="5">
        <v>21</v>
      </c>
      <c r="F210" s="5">
        <v>20.040080160320638</v>
      </c>
      <c r="G210">
        <v>11.25</v>
      </c>
      <c r="H210" s="3" t="s">
        <v>14</v>
      </c>
      <c r="I210" s="3" t="s">
        <v>20</v>
      </c>
      <c r="J210" s="3" t="s">
        <v>24</v>
      </c>
      <c r="K210" s="6" t="s">
        <v>24</v>
      </c>
      <c r="L210" t="s">
        <v>15</v>
      </c>
      <c r="M210" t="str">
        <f t="shared" si="9"/>
        <v>Portugal</v>
      </c>
      <c r="N210">
        <f t="shared" si="10"/>
        <v>25.72500000000003</v>
      </c>
      <c r="O210">
        <f t="shared" si="11"/>
        <v>261.97500000000002</v>
      </c>
    </row>
    <row r="211" spans="1:15" ht="15.6" x14ac:dyDescent="0.3">
      <c r="A211" s="3">
        <v>21360</v>
      </c>
      <c r="B211" s="4">
        <v>45283</v>
      </c>
      <c r="C211" t="s">
        <v>36</v>
      </c>
      <c r="D211" s="5">
        <v>32.475000000000001</v>
      </c>
      <c r="E211" s="5">
        <v>65</v>
      </c>
      <c r="F211" s="5">
        <v>64.665127020785221</v>
      </c>
      <c r="G211">
        <v>21.6</v>
      </c>
      <c r="H211" s="3" t="s">
        <v>14</v>
      </c>
      <c r="I211" s="3" t="s">
        <v>20</v>
      </c>
      <c r="J211" s="3" t="s">
        <v>24</v>
      </c>
      <c r="K211" s="6" t="s">
        <v>24</v>
      </c>
      <c r="L211" t="s">
        <v>15</v>
      </c>
      <c r="M211" t="str">
        <f t="shared" si="9"/>
        <v>Portugal</v>
      </c>
      <c r="N211">
        <f t="shared" si="10"/>
        <v>706.875</v>
      </c>
      <c r="O211">
        <f t="shared" si="11"/>
        <v>2110.875</v>
      </c>
    </row>
    <row r="212" spans="1:15" ht="15.6" x14ac:dyDescent="0.3">
      <c r="A212" s="3">
        <v>21362</v>
      </c>
      <c r="B212" s="4">
        <v>45283</v>
      </c>
      <c r="C212" t="s">
        <v>35</v>
      </c>
      <c r="D212" s="5">
        <v>24.875</v>
      </c>
      <c r="E212" s="5">
        <v>25</v>
      </c>
      <c r="F212" s="5">
        <v>24.120603015075382</v>
      </c>
      <c r="G212">
        <v>14.25</v>
      </c>
      <c r="H212" s="3" t="s">
        <v>14</v>
      </c>
      <c r="I212" s="3" t="s">
        <v>20</v>
      </c>
      <c r="J212" s="3" t="s">
        <v>24</v>
      </c>
      <c r="K212" s="6" t="s">
        <v>24</v>
      </c>
      <c r="L212" t="s">
        <v>15</v>
      </c>
      <c r="M212" t="str">
        <f t="shared" si="9"/>
        <v>Portugal</v>
      </c>
      <c r="N212">
        <f t="shared" si="10"/>
        <v>265.625</v>
      </c>
      <c r="O212">
        <f t="shared" si="11"/>
        <v>621.875</v>
      </c>
    </row>
    <row r="213" spans="1:15" ht="15.6" x14ac:dyDescent="0.3">
      <c r="A213" s="3">
        <v>21364</v>
      </c>
      <c r="B213" s="4">
        <v>45283</v>
      </c>
      <c r="C213" t="s">
        <v>33</v>
      </c>
      <c r="D213" s="5">
        <v>8.7250000000000014</v>
      </c>
      <c r="E213" s="5">
        <v>64</v>
      </c>
      <c r="F213" s="5">
        <v>63.03724928366762</v>
      </c>
      <c r="G213">
        <v>4.4000000000000004</v>
      </c>
      <c r="H213" s="3" t="s">
        <v>14</v>
      </c>
      <c r="I213" s="3" t="s">
        <v>20</v>
      </c>
      <c r="J213" s="3" t="s">
        <v>24</v>
      </c>
      <c r="K213" s="6" t="s">
        <v>24</v>
      </c>
      <c r="L213" t="s">
        <v>15</v>
      </c>
      <c r="M213" t="str">
        <f t="shared" si="9"/>
        <v>Portugal</v>
      </c>
      <c r="N213">
        <f t="shared" si="10"/>
        <v>276.80000000000007</v>
      </c>
      <c r="O213">
        <f t="shared" si="11"/>
        <v>558.40000000000009</v>
      </c>
    </row>
    <row r="214" spans="1:15" ht="15.6" x14ac:dyDescent="0.3">
      <c r="A214" s="3">
        <v>21366</v>
      </c>
      <c r="B214" s="4">
        <v>45283</v>
      </c>
      <c r="C214" t="s">
        <v>34</v>
      </c>
      <c r="D214" s="5">
        <v>7.375</v>
      </c>
      <c r="E214" s="5">
        <v>68</v>
      </c>
      <c r="F214" s="5">
        <v>67.796610169491515</v>
      </c>
      <c r="G214">
        <v>2.3499999999999996</v>
      </c>
      <c r="H214" s="3" t="s">
        <v>14</v>
      </c>
      <c r="I214" s="3" t="s">
        <v>20</v>
      </c>
      <c r="J214" s="3" t="s">
        <v>24</v>
      </c>
      <c r="K214" s="6" t="s">
        <v>24</v>
      </c>
      <c r="L214" t="s">
        <v>15</v>
      </c>
      <c r="M214" t="str">
        <f t="shared" si="9"/>
        <v>Portugal</v>
      </c>
      <c r="N214">
        <f t="shared" si="10"/>
        <v>341.70000000000005</v>
      </c>
      <c r="O214">
        <f t="shared" si="11"/>
        <v>501.5</v>
      </c>
    </row>
    <row r="215" spans="1:15" ht="15.6" x14ac:dyDescent="0.3">
      <c r="A215" s="3">
        <v>21368</v>
      </c>
      <c r="B215" s="4">
        <v>45283</v>
      </c>
      <c r="C215" t="s">
        <v>32</v>
      </c>
      <c r="D215" s="5">
        <v>12.475000000000001</v>
      </c>
      <c r="E215" s="5">
        <v>21</v>
      </c>
      <c r="F215" s="5">
        <v>20.040080160320638</v>
      </c>
      <c r="G215">
        <v>11.25</v>
      </c>
      <c r="H215" s="3" t="s">
        <v>14</v>
      </c>
      <c r="I215" s="3" t="s">
        <v>20</v>
      </c>
      <c r="J215" s="3" t="s">
        <v>24</v>
      </c>
      <c r="K215" s="6" t="s">
        <v>24</v>
      </c>
      <c r="L215" t="s">
        <v>15</v>
      </c>
      <c r="M215" t="str">
        <f t="shared" si="9"/>
        <v>Portugal</v>
      </c>
      <c r="N215">
        <f t="shared" si="10"/>
        <v>25.72500000000003</v>
      </c>
      <c r="O215">
        <f t="shared" si="11"/>
        <v>261.97500000000002</v>
      </c>
    </row>
    <row r="216" spans="1:15" ht="15.6" x14ac:dyDescent="0.3">
      <c r="A216" s="3">
        <v>21370</v>
      </c>
      <c r="B216" s="4">
        <v>45284</v>
      </c>
      <c r="C216" t="s">
        <v>36</v>
      </c>
      <c r="D216" s="5">
        <v>32.475000000000001</v>
      </c>
      <c r="E216" s="5">
        <v>68</v>
      </c>
      <c r="F216" s="5">
        <v>67.744418783679748</v>
      </c>
      <c r="G216">
        <v>21.6</v>
      </c>
      <c r="H216" s="3" t="s">
        <v>14</v>
      </c>
      <c r="I216" s="3" t="s">
        <v>20</v>
      </c>
      <c r="J216" s="3" t="s">
        <v>24</v>
      </c>
      <c r="K216" s="6" t="s">
        <v>24</v>
      </c>
      <c r="L216" t="s">
        <v>15</v>
      </c>
      <c r="M216" t="str">
        <f t="shared" si="9"/>
        <v>Portugal</v>
      </c>
      <c r="N216">
        <f t="shared" si="10"/>
        <v>739.5</v>
      </c>
      <c r="O216">
        <f t="shared" si="11"/>
        <v>2208.3000000000002</v>
      </c>
    </row>
    <row r="217" spans="1:15" ht="15.6" x14ac:dyDescent="0.3">
      <c r="A217" s="3">
        <v>21372</v>
      </c>
      <c r="B217" s="4">
        <v>45284</v>
      </c>
      <c r="C217" t="s">
        <v>35</v>
      </c>
      <c r="D217" s="5">
        <v>24.875</v>
      </c>
      <c r="E217" s="5">
        <v>25</v>
      </c>
      <c r="F217" s="5">
        <v>24.120603015075382</v>
      </c>
      <c r="G217">
        <v>14.25</v>
      </c>
      <c r="H217" s="3" t="s">
        <v>14</v>
      </c>
      <c r="I217" s="3" t="s">
        <v>20</v>
      </c>
      <c r="J217" s="3" t="s">
        <v>24</v>
      </c>
      <c r="K217" s="6" t="s">
        <v>24</v>
      </c>
      <c r="L217" t="s">
        <v>15</v>
      </c>
      <c r="M217" t="str">
        <f t="shared" si="9"/>
        <v>Portugal</v>
      </c>
      <c r="N217">
        <f t="shared" si="10"/>
        <v>265.625</v>
      </c>
      <c r="O217">
        <f t="shared" si="11"/>
        <v>621.875</v>
      </c>
    </row>
    <row r="218" spans="1:15" x14ac:dyDescent="0.3">
      <c r="A218" s="3">
        <v>21374</v>
      </c>
      <c r="B218" s="4">
        <v>45284</v>
      </c>
      <c r="C218" t="s">
        <v>33</v>
      </c>
      <c r="D218" s="5">
        <v>8.7250000000000014</v>
      </c>
      <c r="E218" s="5">
        <v>64</v>
      </c>
      <c r="F218" s="5">
        <v>63.03724928366762</v>
      </c>
      <c r="G218">
        <v>4.4000000000000004</v>
      </c>
      <c r="H218" s="3" t="s">
        <v>14</v>
      </c>
      <c r="I218" s="3" t="s">
        <v>20</v>
      </c>
      <c r="J218" s="3" t="s">
        <v>31</v>
      </c>
      <c r="K218" t="s">
        <v>31</v>
      </c>
      <c r="L218" t="s">
        <v>17</v>
      </c>
      <c r="M218" t="str">
        <f t="shared" si="9"/>
        <v>Germany</v>
      </c>
      <c r="N218">
        <f t="shared" si="10"/>
        <v>276.80000000000007</v>
      </c>
      <c r="O218">
        <f t="shared" si="11"/>
        <v>558.40000000000009</v>
      </c>
    </row>
    <row r="219" spans="1:15" x14ac:dyDescent="0.3">
      <c r="A219" s="3">
        <v>21376</v>
      </c>
      <c r="B219" s="4">
        <v>45284</v>
      </c>
      <c r="C219" t="s">
        <v>34</v>
      </c>
      <c r="D219" s="5">
        <v>7.375</v>
      </c>
      <c r="E219" s="5">
        <v>68</v>
      </c>
      <c r="F219" s="5">
        <v>67.796610169491515</v>
      </c>
      <c r="G219">
        <v>2.3499999999999996</v>
      </c>
      <c r="H219" s="3" t="s">
        <v>14</v>
      </c>
      <c r="I219" s="3" t="s">
        <v>20</v>
      </c>
      <c r="J219" s="3" t="s">
        <v>31</v>
      </c>
      <c r="K219" t="s">
        <v>31</v>
      </c>
      <c r="L219" t="s">
        <v>17</v>
      </c>
      <c r="M219" t="str">
        <f t="shared" si="9"/>
        <v>Germany</v>
      </c>
      <c r="N219">
        <f t="shared" si="10"/>
        <v>341.70000000000005</v>
      </c>
      <c r="O219">
        <f t="shared" si="11"/>
        <v>501.5</v>
      </c>
    </row>
    <row r="220" spans="1:15" x14ac:dyDescent="0.3">
      <c r="A220" s="3">
        <v>21378</v>
      </c>
      <c r="B220" s="4">
        <v>45284</v>
      </c>
      <c r="C220" t="s">
        <v>32</v>
      </c>
      <c r="D220" s="5">
        <v>12.475000000000001</v>
      </c>
      <c r="E220" s="5">
        <v>21</v>
      </c>
      <c r="F220" s="5">
        <v>20.040080160320638</v>
      </c>
      <c r="G220">
        <v>11.25</v>
      </c>
      <c r="H220" s="3" t="s">
        <v>14</v>
      </c>
      <c r="I220" s="3" t="s">
        <v>20</v>
      </c>
      <c r="J220" s="3" t="s">
        <v>31</v>
      </c>
      <c r="K220" t="s">
        <v>31</v>
      </c>
      <c r="L220" t="s">
        <v>17</v>
      </c>
      <c r="M220" t="str">
        <f t="shared" si="9"/>
        <v>Germany</v>
      </c>
      <c r="N220">
        <f t="shared" si="10"/>
        <v>25.72500000000003</v>
      </c>
      <c r="O220">
        <f t="shared" si="11"/>
        <v>261.97500000000002</v>
      </c>
    </row>
    <row r="221" spans="1:15" x14ac:dyDescent="0.3">
      <c r="A221" s="3">
        <v>21380</v>
      </c>
      <c r="B221" s="4">
        <v>45285</v>
      </c>
      <c r="C221" t="s">
        <v>36</v>
      </c>
      <c r="D221" s="5">
        <v>32.475000000000001</v>
      </c>
      <c r="E221" s="5">
        <v>68</v>
      </c>
      <c r="F221" s="5">
        <v>67.744418783679748</v>
      </c>
      <c r="G221">
        <v>21.6</v>
      </c>
      <c r="H221" s="3" t="s">
        <v>14</v>
      </c>
      <c r="I221" s="3" t="s">
        <v>20</v>
      </c>
      <c r="J221" s="3" t="s">
        <v>31</v>
      </c>
      <c r="K221" t="s">
        <v>31</v>
      </c>
      <c r="L221" t="s">
        <v>17</v>
      </c>
      <c r="M221" t="str">
        <f t="shared" si="9"/>
        <v>Germany</v>
      </c>
      <c r="N221">
        <f t="shared" si="10"/>
        <v>739.5</v>
      </c>
      <c r="O221">
        <f t="shared" si="11"/>
        <v>2208.3000000000002</v>
      </c>
    </row>
    <row r="222" spans="1:15" x14ac:dyDescent="0.3">
      <c r="A222" s="3">
        <v>21382</v>
      </c>
      <c r="B222" s="4">
        <v>45285</v>
      </c>
      <c r="C222" t="s">
        <v>35</v>
      </c>
      <c r="D222" s="5">
        <v>24.875</v>
      </c>
      <c r="E222" s="5">
        <v>27</v>
      </c>
      <c r="F222" s="5">
        <v>26.13065326633166</v>
      </c>
      <c r="G222">
        <v>14.25</v>
      </c>
      <c r="H222" s="3" t="s">
        <v>14</v>
      </c>
      <c r="I222" s="3" t="s">
        <v>20</v>
      </c>
      <c r="J222" s="3" t="s">
        <v>31</v>
      </c>
      <c r="K222" t="s">
        <v>31</v>
      </c>
      <c r="L222" t="s">
        <v>17</v>
      </c>
      <c r="M222" t="str">
        <f t="shared" si="9"/>
        <v>Germany</v>
      </c>
      <c r="N222">
        <f t="shared" si="10"/>
        <v>286.875</v>
      </c>
      <c r="O222">
        <f t="shared" si="11"/>
        <v>671.625</v>
      </c>
    </row>
    <row r="223" spans="1:15" x14ac:dyDescent="0.3">
      <c r="A223" s="3">
        <v>21384</v>
      </c>
      <c r="B223" s="4">
        <v>45285</v>
      </c>
      <c r="C223" t="s">
        <v>33</v>
      </c>
      <c r="D223" s="5">
        <v>8.7250000000000014</v>
      </c>
      <c r="E223" s="5">
        <v>64</v>
      </c>
      <c r="F223" s="5">
        <v>63.03724928366762</v>
      </c>
      <c r="G223">
        <v>4.4000000000000004</v>
      </c>
      <c r="H223" s="3" t="s">
        <v>14</v>
      </c>
      <c r="I223" s="3" t="s">
        <v>20</v>
      </c>
      <c r="J223" s="3" t="s">
        <v>31</v>
      </c>
      <c r="K223" t="s">
        <v>31</v>
      </c>
      <c r="L223" t="s">
        <v>17</v>
      </c>
      <c r="M223" t="str">
        <f t="shared" si="9"/>
        <v>Germany</v>
      </c>
      <c r="N223">
        <f t="shared" si="10"/>
        <v>276.80000000000007</v>
      </c>
      <c r="O223">
        <f t="shared" si="11"/>
        <v>558.40000000000009</v>
      </c>
    </row>
    <row r="224" spans="1:15" x14ac:dyDescent="0.3">
      <c r="A224" s="3">
        <v>21386</v>
      </c>
      <c r="B224" s="4">
        <v>45285</v>
      </c>
      <c r="C224" t="s">
        <v>34</v>
      </c>
      <c r="D224" s="5">
        <v>7.375</v>
      </c>
      <c r="E224" s="5">
        <v>68</v>
      </c>
      <c r="F224" s="5">
        <v>67.796610169491515</v>
      </c>
      <c r="G224">
        <v>2.3499999999999996</v>
      </c>
      <c r="H224" s="3" t="s">
        <v>14</v>
      </c>
      <c r="I224" s="3" t="s">
        <v>20</v>
      </c>
      <c r="J224" s="3" t="s">
        <v>31</v>
      </c>
      <c r="K224" t="s">
        <v>31</v>
      </c>
      <c r="L224" t="s">
        <v>17</v>
      </c>
      <c r="M224" t="str">
        <f t="shared" si="9"/>
        <v>Germany</v>
      </c>
      <c r="N224">
        <f t="shared" si="10"/>
        <v>341.70000000000005</v>
      </c>
      <c r="O224">
        <f t="shared" si="11"/>
        <v>501.5</v>
      </c>
    </row>
    <row r="225" spans="1:15" x14ac:dyDescent="0.3">
      <c r="A225" s="3">
        <v>21388</v>
      </c>
      <c r="B225" s="4">
        <v>45285</v>
      </c>
      <c r="C225" t="s">
        <v>32</v>
      </c>
      <c r="D225" s="5">
        <v>12.475000000000001</v>
      </c>
      <c r="E225" s="5">
        <v>21</v>
      </c>
      <c r="F225" s="5">
        <v>20.040080160320638</v>
      </c>
      <c r="G225">
        <v>11.25</v>
      </c>
      <c r="H225" s="3" t="s">
        <v>14</v>
      </c>
      <c r="I225" s="3" t="s">
        <v>20</v>
      </c>
      <c r="J225" s="3" t="s">
        <v>31</v>
      </c>
      <c r="K225" t="s">
        <v>31</v>
      </c>
      <c r="L225" t="s">
        <v>17</v>
      </c>
      <c r="M225" t="str">
        <f t="shared" si="9"/>
        <v>Germany</v>
      </c>
      <c r="N225">
        <f t="shared" si="10"/>
        <v>25.72500000000003</v>
      </c>
      <c r="O225">
        <f t="shared" si="11"/>
        <v>261.97500000000002</v>
      </c>
    </row>
    <row r="226" spans="1:15" x14ac:dyDescent="0.3">
      <c r="A226" s="3">
        <v>21390</v>
      </c>
      <c r="B226" s="4">
        <v>45286</v>
      </c>
      <c r="C226" t="s">
        <v>36</v>
      </c>
      <c r="D226" s="5">
        <v>32.475000000000001</v>
      </c>
      <c r="E226" s="5">
        <v>70</v>
      </c>
      <c r="F226" s="5">
        <v>69.284064665127019</v>
      </c>
      <c r="G226">
        <v>21.6</v>
      </c>
      <c r="H226" s="3" t="s">
        <v>14</v>
      </c>
      <c r="I226" s="3" t="s">
        <v>20</v>
      </c>
      <c r="J226" s="3" t="s">
        <v>31</v>
      </c>
      <c r="K226" t="s">
        <v>31</v>
      </c>
      <c r="L226" t="s">
        <v>17</v>
      </c>
      <c r="M226" t="str">
        <f t="shared" si="9"/>
        <v>Germany</v>
      </c>
      <c r="N226">
        <f t="shared" si="10"/>
        <v>761.25</v>
      </c>
      <c r="O226">
        <f t="shared" si="11"/>
        <v>2273.25</v>
      </c>
    </row>
    <row r="227" spans="1:15" x14ac:dyDescent="0.3">
      <c r="A227" s="3">
        <v>21392</v>
      </c>
      <c r="B227" s="4">
        <v>45286</v>
      </c>
      <c r="C227" t="s">
        <v>35</v>
      </c>
      <c r="D227" s="5">
        <v>24.875</v>
      </c>
      <c r="E227" s="5">
        <v>29</v>
      </c>
      <c r="F227" s="5">
        <v>28.140703517587941</v>
      </c>
      <c r="G227">
        <v>14.25</v>
      </c>
      <c r="H227" s="3" t="s">
        <v>14</v>
      </c>
      <c r="I227" s="3" t="s">
        <v>20</v>
      </c>
      <c r="J227" s="3" t="s">
        <v>31</v>
      </c>
      <c r="K227" t="s">
        <v>31</v>
      </c>
      <c r="L227" t="s">
        <v>17</v>
      </c>
      <c r="M227" t="str">
        <f t="shared" si="9"/>
        <v>Germany</v>
      </c>
      <c r="N227">
        <f t="shared" si="10"/>
        <v>308.125</v>
      </c>
      <c r="O227">
        <f t="shared" si="11"/>
        <v>721.375</v>
      </c>
    </row>
    <row r="228" spans="1:15" x14ac:dyDescent="0.3">
      <c r="A228" s="3">
        <v>21394</v>
      </c>
      <c r="B228" s="4">
        <v>45286</v>
      </c>
      <c r="C228" t="s">
        <v>33</v>
      </c>
      <c r="D228" s="5">
        <v>8.7250000000000014</v>
      </c>
      <c r="E228" s="5">
        <v>64</v>
      </c>
      <c r="F228" s="5">
        <v>63.03724928366762</v>
      </c>
      <c r="G228">
        <v>4.4000000000000004</v>
      </c>
      <c r="H228" s="3" t="s">
        <v>14</v>
      </c>
      <c r="I228" s="3" t="s">
        <v>20</v>
      </c>
      <c r="J228" s="3" t="s">
        <v>31</v>
      </c>
      <c r="K228" t="s">
        <v>31</v>
      </c>
      <c r="L228" t="s">
        <v>17</v>
      </c>
      <c r="M228" t="str">
        <f t="shared" si="9"/>
        <v>Germany</v>
      </c>
      <c r="N228">
        <f t="shared" si="10"/>
        <v>276.80000000000007</v>
      </c>
      <c r="O228">
        <f t="shared" si="11"/>
        <v>558.40000000000009</v>
      </c>
    </row>
    <row r="229" spans="1:15" x14ac:dyDescent="0.3">
      <c r="A229" s="3">
        <v>21396</v>
      </c>
      <c r="B229" s="4">
        <v>45286</v>
      </c>
      <c r="C229" t="s">
        <v>34</v>
      </c>
      <c r="D229" s="5">
        <v>7.375</v>
      </c>
      <c r="E229" s="5">
        <v>68</v>
      </c>
      <c r="F229" s="5">
        <v>67.796610169491515</v>
      </c>
      <c r="G229">
        <v>2.3499999999999996</v>
      </c>
      <c r="H229" s="3" t="s">
        <v>14</v>
      </c>
      <c r="I229" s="3" t="s">
        <v>20</v>
      </c>
      <c r="J229" s="3" t="s">
        <v>31</v>
      </c>
      <c r="K229" t="s">
        <v>31</v>
      </c>
      <c r="L229" t="s">
        <v>17</v>
      </c>
      <c r="M229" t="str">
        <f t="shared" si="9"/>
        <v>Germany</v>
      </c>
      <c r="N229">
        <f t="shared" si="10"/>
        <v>341.70000000000005</v>
      </c>
      <c r="O229">
        <f t="shared" si="11"/>
        <v>501.5</v>
      </c>
    </row>
    <row r="230" spans="1:15" x14ac:dyDescent="0.3">
      <c r="A230" s="3">
        <v>21398</v>
      </c>
      <c r="B230" s="4">
        <v>45286</v>
      </c>
      <c r="C230" t="s">
        <v>32</v>
      </c>
      <c r="D230" s="5">
        <v>12.475000000000001</v>
      </c>
      <c r="E230" s="5">
        <v>21</v>
      </c>
      <c r="F230" s="5">
        <v>20.040080160320638</v>
      </c>
      <c r="G230">
        <v>11.25</v>
      </c>
      <c r="H230" s="3" t="s">
        <v>14</v>
      </c>
      <c r="I230" s="3" t="s">
        <v>20</v>
      </c>
      <c r="J230" s="3" t="s">
        <v>31</v>
      </c>
      <c r="K230" t="s">
        <v>31</v>
      </c>
      <c r="L230" t="s">
        <v>17</v>
      </c>
      <c r="M230" t="str">
        <f t="shared" si="9"/>
        <v>Germany</v>
      </c>
      <c r="N230">
        <f t="shared" si="10"/>
        <v>25.72500000000003</v>
      </c>
      <c r="O230">
        <f t="shared" si="11"/>
        <v>261.97500000000002</v>
      </c>
    </row>
    <row r="231" spans="1:15" x14ac:dyDescent="0.3">
      <c r="A231" s="3">
        <v>21400</v>
      </c>
      <c r="B231" s="4">
        <v>45287</v>
      </c>
      <c r="C231" t="s">
        <v>36</v>
      </c>
      <c r="D231" s="5">
        <v>32.475000000000001</v>
      </c>
      <c r="E231" s="5">
        <v>70</v>
      </c>
      <c r="F231" s="5">
        <v>69.284064665127019</v>
      </c>
      <c r="G231">
        <v>21.6</v>
      </c>
      <c r="H231" s="3" t="s">
        <v>14</v>
      </c>
      <c r="I231" s="3" t="s">
        <v>20</v>
      </c>
      <c r="J231" s="3" t="s">
        <v>31</v>
      </c>
      <c r="K231" t="s">
        <v>31</v>
      </c>
      <c r="L231" t="s">
        <v>17</v>
      </c>
      <c r="M231" t="str">
        <f t="shared" si="9"/>
        <v>Germany</v>
      </c>
      <c r="N231">
        <f t="shared" si="10"/>
        <v>761.25</v>
      </c>
      <c r="O231">
        <f t="shared" si="11"/>
        <v>2273.25</v>
      </c>
    </row>
    <row r="232" spans="1:15" x14ac:dyDescent="0.3">
      <c r="A232" s="3">
        <v>21402</v>
      </c>
      <c r="B232" s="4">
        <v>45287</v>
      </c>
      <c r="C232" t="s">
        <v>35</v>
      </c>
      <c r="D232" s="5">
        <v>24.875</v>
      </c>
      <c r="E232" s="5">
        <v>29</v>
      </c>
      <c r="F232" s="5">
        <v>28.140703517587941</v>
      </c>
      <c r="G232">
        <v>14.25</v>
      </c>
      <c r="H232" s="3" t="s">
        <v>14</v>
      </c>
      <c r="I232" s="3" t="s">
        <v>20</v>
      </c>
      <c r="J232" s="3" t="s">
        <v>31</v>
      </c>
      <c r="K232" t="s">
        <v>31</v>
      </c>
      <c r="L232" t="s">
        <v>17</v>
      </c>
      <c r="M232" t="str">
        <f t="shared" si="9"/>
        <v>Germany</v>
      </c>
      <c r="N232">
        <f t="shared" si="10"/>
        <v>308.125</v>
      </c>
      <c r="O232">
        <f t="shared" si="11"/>
        <v>721.375</v>
      </c>
    </row>
    <row r="233" spans="1:15" x14ac:dyDescent="0.3">
      <c r="A233" s="3">
        <v>21404</v>
      </c>
      <c r="B233" s="4">
        <v>45287</v>
      </c>
      <c r="C233" t="s">
        <v>33</v>
      </c>
      <c r="D233" s="5">
        <v>8.7250000000000014</v>
      </c>
      <c r="E233" s="5">
        <v>64</v>
      </c>
      <c r="F233" s="5">
        <v>63.03724928366762</v>
      </c>
      <c r="G233">
        <v>4.4000000000000004</v>
      </c>
      <c r="H233" s="3" t="s">
        <v>14</v>
      </c>
      <c r="I233" s="3" t="s">
        <v>20</v>
      </c>
      <c r="J233" s="3" t="s">
        <v>31</v>
      </c>
      <c r="K233" t="s">
        <v>31</v>
      </c>
      <c r="L233" t="s">
        <v>17</v>
      </c>
      <c r="M233" t="str">
        <f t="shared" si="9"/>
        <v>Germany</v>
      </c>
      <c r="N233">
        <f t="shared" si="10"/>
        <v>276.80000000000007</v>
      </c>
      <c r="O233">
        <f t="shared" si="11"/>
        <v>558.40000000000009</v>
      </c>
    </row>
    <row r="234" spans="1:15" x14ac:dyDescent="0.3">
      <c r="A234" s="3">
        <v>21406</v>
      </c>
      <c r="B234" s="4">
        <v>45287</v>
      </c>
      <c r="C234" t="s">
        <v>34</v>
      </c>
      <c r="D234" s="5">
        <v>7.375</v>
      </c>
      <c r="E234" s="5">
        <v>68</v>
      </c>
      <c r="F234" s="5">
        <v>67.796610169491515</v>
      </c>
      <c r="G234">
        <v>2.3499999999999996</v>
      </c>
      <c r="H234" s="3" t="s">
        <v>14</v>
      </c>
      <c r="I234" s="3" t="s">
        <v>11</v>
      </c>
      <c r="J234" s="3" t="s">
        <v>31</v>
      </c>
      <c r="K234" t="s">
        <v>31</v>
      </c>
      <c r="L234" t="s">
        <v>17</v>
      </c>
      <c r="M234" t="str">
        <f t="shared" si="9"/>
        <v>Germany</v>
      </c>
      <c r="N234">
        <f t="shared" si="10"/>
        <v>341.70000000000005</v>
      </c>
      <c r="O234">
        <f t="shared" si="11"/>
        <v>501.5</v>
      </c>
    </row>
    <row r="235" spans="1:15" x14ac:dyDescent="0.3">
      <c r="A235" s="3">
        <v>21408</v>
      </c>
      <c r="B235" s="4">
        <v>45287</v>
      </c>
      <c r="C235" t="s">
        <v>32</v>
      </c>
      <c r="D235" s="5">
        <v>12.475000000000001</v>
      </c>
      <c r="E235" s="5">
        <v>21</v>
      </c>
      <c r="F235" s="5">
        <v>20.040080160320638</v>
      </c>
      <c r="G235">
        <v>11.25</v>
      </c>
      <c r="H235" s="3" t="s">
        <v>19</v>
      </c>
      <c r="I235" s="3" t="s">
        <v>11</v>
      </c>
      <c r="J235" s="3" t="s">
        <v>31</v>
      </c>
      <c r="K235" t="s">
        <v>31</v>
      </c>
      <c r="L235" t="s">
        <v>17</v>
      </c>
      <c r="M235" t="str">
        <f t="shared" si="9"/>
        <v>Germany</v>
      </c>
      <c r="N235">
        <f t="shared" si="10"/>
        <v>25.72500000000003</v>
      </c>
      <c r="O235">
        <f t="shared" si="11"/>
        <v>261.97500000000002</v>
      </c>
    </row>
    <row r="236" spans="1:15" x14ac:dyDescent="0.3">
      <c r="A236" s="3">
        <v>21410</v>
      </c>
      <c r="B236" s="4">
        <v>45288</v>
      </c>
      <c r="C236" t="s">
        <v>36</v>
      </c>
      <c r="D236" s="5">
        <v>32.475000000000001</v>
      </c>
      <c r="E236" s="5">
        <v>73</v>
      </c>
      <c r="F236" s="5">
        <v>72.363356428021547</v>
      </c>
      <c r="G236">
        <v>21.6</v>
      </c>
      <c r="H236" s="3" t="s">
        <v>19</v>
      </c>
      <c r="I236" s="3" t="s">
        <v>11</v>
      </c>
      <c r="J236" s="3" t="s">
        <v>31</v>
      </c>
      <c r="K236" t="s">
        <v>31</v>
      </c>
      <c r="L236" t="s">
        <v>17</v>
      </c>
      <c r="M236" t="str">
        <f t="shared" si="9"/>
        <v>Germany</v>
      </c>
      <c r="N236">
        <f t="shared" si="10"/>
        <v>793.875</v>
      </c>
      <c r="O236">
        <f t="shared" si="11"/>
        <v>2370.6750000000002</v>
      </c>
    </row>
    <row r="237" spans="1:15" x14ac:dyDescent="0.3">
      <c r="A237" s="3">
        <v>21412</v>
      </c>
      <c r="B237" s="4">
        <v>45288</v>
      </c>
      <c r="C237" t="s">
        <v>35</v>
      </c>
      <c r="D237" s="5">
        <v>24.875</v>
      </c>
      <c r="E237" s="5">
        <v>31</v>
      </c>
      <c r="F237" s="5">
        <v>30.150753768844226</v>
      </c>
      <c r="G237">
        <v>14.25</v>
      </c>
      <c r="H237" s="3" t="s">
        <v>19</v>
      </c>
      <c r="I237" s="3" t="s">
        <v>11</v>
      </c>
      <c r="J237" s="3" t="s">
        <v>31</v>
      </c>
      <c r="K237" t="s">
        <v>31</v>
      </c>
      <c r="L237" t="s">
        <v>17</v>
      </c>
      <c r="M237" t="str">
        <f t="shared" si="9"/>
        <v>Germany</v>
      </c>
      <c r="N237">
        <f t="shared" si="10"/>
        <v>329.375</v>
      </c>
      <c r="O237">
        <f t="shared" si="11"/>
        <v>771.125</v>
      </c>
    </row>
    <row r="238" spans="1:15" x14ac:dyDescent="0.3">
      <c r="A238" s="3">
        <v>21414</v>
      </c>
      <c r="B238" s="4">
        <v>45288</v>
      </c>
      <c r="C238" t="s">
        <v>33</v>
      </c>
      <c r="D238" s="5">
        <v>8.7250000000000014</v>
      </c>
      <c r="E238" s="5">
        <v>64</v>
      </c>
      <c r="F238" s="5">
        <v>63.03724928366762</v>
      </c>
      <c r="G238">
        <v>4.4000000000000004</v>
      </c>
      <c r="H238" s="3" t="s">
        <v>19</v>
      </c>
      <c r="I238" s="3" t="s">
        <v>11</v>
      </c>
      <c r="J238" s="3" t="s">
        <v>31</v>
      </c>
      <c r="K238" t="s">
        <v>31</v>
      </c>
      <c r="L238" t="s">
        <v>17</v>
      </c>
      <c r="M238" t="str">
        <f t="shared" si="9"/>
        <v>Germany</v>
      </c>
      <c r="N238">
        <f t="shared" si="10"/>
        <v>276.80000000000007</v>
      </c>
      <c r="O238">
        <f t="shared" si="11"/>
        <v>558.40000000000009</v>
      </c>
    </row>
    <row r="239" spans="1:15" x14ac:dyDescent="0.3">
      <c r="A239" s="3">
        <v>21416</v>
      </c>
      <c r="B239" s="4">
        <v>45288</v>
      </c>
      <c r="C239" t="s">
        <v>34</v>
      </c>
      <c r="D239" s="5">
        <v>7.375</v>
      </c>
      <c r="E239" s="5">
        <v>68</v>
      </c>
      <c r="F239" s="5">
        <v>67.796610169491515</v>
      </c>
      <c r="G239">
        <v>2.3499999999999996</v>
      </c>
      <c r="H239" s="3" t="s">
        <v>19</v>
      </c>
      <c r="I239" s="3" t="s">
        <v>11</v>
      </c>
      <c r="J239" s="3" t="s">
        <v>31</v>
      </c>
      <c r="K239" t="s">
        <v>31</v>
      </c>
      <c r="L239" t="s">
        <v>17</v>
      </c>
      <c r="M239" t="str">
        <f t="shared" si="9"/>
        <v>Germany</v>
      </c>
      <c r="N239">
        <f t="shared" si="10"/>
        <v>341.70000000000005</v>
      </c>
      <c r="O239">
        <f t="shared" si="11"/>
        <v>501.5</v>
      </c>
    </row>
    <row r="240" spans="1:15" x14ac:dyDescent="0.3">
      <c r="A240" s="3">
        <v>21418</v>
      </c>
      <c r="B240" s="4">
        <v>45288</v>
      </c>
      <c r="C240" t="s">
        <v>32</v>
      </c>
      <c r="D240" s="5">
        <v>12.475000000000001</v>
      </c>
      <c r="E240" s="5">
        <v>21</v>
      </c>
      <c r="F240" s="5">
        <v>20.040080160320638</v>
      </c>
      <c r="G240">
        <v>11.25</v>
      </c>
      <c r="H240" s="3" t="s">
        <v>19</v>
      </c>
      <c r="I240" s="3" t="s">
        <v>11</v>
      </c>
      <c r="J240" s="3" t="s">
        <v>31</v>
      </c>
      <c r="K240" t="s">
        <v>31</v>
      </c>
      <c r="L240" t="s">
        <v>17</v>
      </c>
      <c r="M240" t="str">
        <f t="shared" si="9"/>
        <v>Germany</v>
      </c>
      <c r="N240">
        <f t="shared" si="10"/>
        <v>25.72500000000003</v>
      </c>
      <c r="O240">
        <f t="shared" si="11"/>
        <v>261.97500000000002</v>
      </c>
    </row>
    <row r="241" spans="1:15" x14ac:dyDescent="0.3">
      <c r="A241" s="3">
        <v>21420</v>
      </c>
      <c r="B241" s="4">
        <v>45289</v>
      </c>
      <c r="C241" t="s">
        <v>36</v>
      </c>
      <c r="D241" s="5">
        <v>32.475000000000001</v>
      </c>
      <c r="E241" s="5">
        <v>76</v>
      </c>
      <c r="F241" s="5">
        <v>75.442648190916088</v>
      </c>
      <c r="G241">
        <v>21.6</v>
      </c>
      <c r="H241" s="3" t="s">
        <v>19</v>
      </c>
      <c r="I241" s="3" t="s">
        <v>11</v>
      </c>
      <c r="J241" s="3" t="s">
        <v>31</v>
      </c>
      <c r="K241" t="s">
        <v>31</v>
      </c>
      <c r="L241" t="s">
        <v>17</v>
      </c>
      <c r="M241" t="str">
        <f t="shared" si="9"/>
        <v>Germany</v>
      </c>
      <c r="N241">
        <f t="shared" si="10"/>
        <v>826.5</v>
      </c>
      <c r="O241">
        <f t="shared" si="11"/>
        <v>2468.1</v>
      </c>
    </row>
    <row r="242" spans="1:15" x14ac:dyDescent="0.3">
      <c r="A242" s="3">
        <v>21422</v>
      </c>
      <c r="B242" s="4">
        <v>45289</v>
      </c>
      <c r="C242" t="s">
        <v>35</v>
      </c>
      <c r="D242" s="5">
        <v>24.875</v>
      </c>
      <c r="E242" s="5">
        <v>29</v>
      </c>
      <c r="F242" s="5">
        <v>28.140703517587941</v>
      </c>
      <c r="G242">
        <v>14.25</v>
      </c>
      <c r="H242" s="3" t="s">
        <v>19</v>
      </c>
      <c r="I242" s="3" t="s">
        <v>11</v>
      </c>
      <c r="J242" s="3" t="s">
        <v>31</v>
      </c>
      <c r="K242" t="s">
        <v>31</v>
      </c>
      <c r="L242" t="s">
        <v>17</v>
      </c>
      <c r="M242" t="str">
        <f t="shared" si="9"/>
        <v>Germany</v>
      </c>
      <c r="N242">
        <f t="shared" si="10"/>
        <v>308.125</v>
      </c>
      <c r="O242">
        <f t="shared" si="11"/>
        <v>721.375</v>
      </c>
    </row>
    <row r="243" spans="1:15" x14ac:dyDescent="0.3">
      <c r="A243" s="3">
        <v>21424</v>
      </c>
      <c r="B243" s="4">
        <v>45289</v>
      </c>
      <c r="C243" t="s">
        <v>33</v>
      </c>
      <c r="D243" s="5">
        <v>8.7250000000000014</v>
      </c>
      <c r="E243" s="5">
        <v>64</v>
      </c>
      <c r="F243" s="5">
        <v>63.03724928366762</v>
      </c>
      <c r="G243">
        <v>4.4000000000000004</v>
      </c>
      <c r="H243" s="3" t="s">
        <v>19</v>
      </c>
      <c r="I243" s="3" t="s">
        <v>11</v>
      </c>
      <c r="J243" s="3" t="s">
        <v>31</v>
      </c>
      <c r="K243" t="s">
        <v>31</v>
      </c>
      <c r="L243" t="s">
        <v>17</v>
      </c>
      <c r="M243" t="str">
        <f t="shared" si="9"/>
        <v>Germany</v>
      </c>
      <c r="N243">
        <f t="shared" si="10"/>
        <v>276.80000000000007</v>
      </c>
      <c r="O243">
        <f t="shared" si="11"/>
        <v>558.40000000000009</v>
      </c>
    </row>
    <row r="244" spans="1:15" x14ac:dyDescent="0.3">
      <c r="A244" s="3">
        <v>21426</v>
      </c>
      <c r="B244" s="4">
        <v>45289</v>
      </c>
      <c r="C244" t="s">
        <v>34</v>
      </c>
      <c r="D244" s="5">
        <v>7.375</v>
      </c>
      <c r="E244" s="5">
        <v>68</v>
      </c>
      <c r="F244" s="5">
        <v>67.796610169491515</v>
      </c>
      <c r="G244">
        <v>2.3499999999999996</v>
      </c>
      <c r="H244" s="3" t="s">
        <v>19</v>
      </c>
      <c r="I244" s="3" t="s">
        <v>11</v>
      </c>
      <c r="J244" s="3" t="s">
        <v>31</v>
      </c>
      <c r="K244" t="s">
        <v>31</v>
      </c>
      <c r="L244" t="s">
        <v>17</v>
      </c>
      <c r="M244" t="str">
        <f t="shared" si="9"/>
        <v>Germany</v>
      </c>
      <c r="N244">
        <f t="shared" si="10"/>
        <v>341.70000000000005</v>
      </c>
      <c r="O244">
        <f t="shared" si="11"/>
        <v>501.5</v>
      </c>
    </row>
  </sheetData>
  <sortState xmlns:xlrd2="http://schemas.microsoft.com/office/spreadsheetml/2017/richdata2" ref="A2:L247">
    <sortCondition ref="A2:A247"/>
  </sortState>
  <dataValidations count="1">
    <dataValidation type="list" allowBlank="1" showInputMessage="1" showErrorMessage="1" sqref="A2" xr:uid="{C053BE97-A00D-4D27-882C-14142875D752}">
      <formula1>$J$1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98FB-67B7-4C07-805E-505465B8C981}">
  <dimension ref="D7:P25"/>
  <sheetViews>
    <sheetView workbookViewId="0">
      <selection activeCell="P4" sqref="P4"/>
    </sheetView>
  </sheetViews>
  <sheetFormatPr defaultRowHeight="14.4" x14ac:dyDescent="0.3"/>
  <cols>
    <col min="1" max="1" width="17.5546875" customWidth="1"/>
    <col min="2" max="2" width="10.5546875" customWidth="1"/>
    <col min="3" max="3" width="10.21875" customWidth="1"/>
    <col min="4" max="4" width="14" customWidth="1"/>
    <col min="5" max="5" width="13.44140625" customWidth="1"/>
    <col min="6" max="6" width="12.33203125" customWidth="1"/>
    <col min="7" max="8" width="10.33203125" customWidth="1"/>
  </cols>
  <sheetData>
    <row r="7" spans="4:14" ht="21" x14ac:dyDescent="0.4">
      <c r="L7" s="14" t="s">
        <v>61</v>
      </c>
      <c r="M7" s="15"/>
      <c r="N7" s="15"/>
    </row>
    <row r="11" spans="4:14" x14ac:dyDescent="0.3">
      <c r="D11" t="s">
        <v>62</v>
      </c>
      <c r="E11" t="s">
        <v>3</v>
      </c>
      <c r="F11" t="s">
        <v>4</v>
      </c>
    </row>
    <row r="12" spans="4:14" x14ac:dyDescent="0.3">
      <c r="D12" t="s">
        <v>40</v>
      </c>
      <c r="E12">
        <v>18.400411522633728</v>
      </c>
      <c r="F12">
        <v>46.0575666694548</v>
      </c>
    </row>
    <row r="13" spans="4:14" x14ac:dyDescent="0.3">
      <c r="D13" t="s">
        <v>41</v>
      </c>
      <c r="E13">
        <v>0.78845625430544442</v>
      </c>
      <c r="F13">
        <v>1.3826492408761255</v>
      </c>
    </row>
    <row r="14" spans="4:14" x14ac:dyDescent="0.3">
      <c r="D14" t="s">
        <v>42</v>
      </c>
      <c r="E14">
        <v>12.475000000000001</v>
      </c>
      <c r="F14">
        <v>53.887605850654346</v>
      </c>
    </row>
    <row r="15" spans="4:14" x14ac:dyDescent="0.3">
      <c r="D15" t="s">
        <v>43</v>
      </c>
      <c r="E15">
        <v>32.475000000000001</v>
      </c>
      <c r="F15">
        <v>20.040080160320638</v>
      </c>
    </row>
    <row r="16" spans="4:14" x14ac:dyDescent="0.3">
      <c r="D16" t="s">
        <v>44</v>
      </c>
      <c r="E16">
        <v>12.290816628022293</v>
      </c>
      <c r="F16">
        <v>21.553368608195896</v>
      </c>
    </row>
    <row r="17" spans="4:16" x14ac:dyDescent="0.3">
      <c r="D17" t="s">
        <v>45</v>
      </c>
      <c r="E17">
        <v>151.0641733836693</v>
      </c>
      <c r="F17">
        <v>464.54769836076434</v>
      </c>
    </row>
    <row r="18" spans="4:16" x14ac:dyDescent="0.3">
      <c r="D18" t="s">
        <v>46</v>
      </c>
      <c r="E18">
        <v>4.7818990357787676</v>
      </c>
      <c r="F18">
        <v>-1.7303409184276561</v>
      </c>
    </row>
    <row r="19" spans="4:16" x14ac:dyDescent="0.3">
      <c r="D19" t="s">
        <v>47</v>
      </c>
      <c r="E19">
        <v>1.65613278551569</v>
      </c>
      <c r="F19">
        <v>-0.20262528845085431</v>
      </c>
    </row>
    <row r="20" spans="4:16" x14ac:dyDescent="0.3">
      <c r="D20" t="s">
        <v>48</v>
      </c>
      <c r="E20">
        <v>75.674999999999997</v>
      </c>
      <c r="F20">
        <v>55.402568030595447</v>
      </c>
    </row>
    <row r="21" spans="4:16" x14ac:dyDescent="0.3">
      <c r="D21" t="s">
        <v>49</v>
      </c>
      <c r="E21">
        <v>7.375</v>
      </c>
      <c r="F21">
        <v>20.040080160320638</v>
      </c>
    </row>
    <row r="22" spans="4:16" x14ac:dyDescent="0.3">
      <c r="D22" t="s">
        <v>50</v>
      </c>
      <c r="E22">
        <v>83.05</v>
      </c>
      <c r="F22">
        <v>75.442648190916088</v>
      </c>
    </row>
    <row r="23" spans="4:16" x14ac:dyDescent="0.3">
      <c r="D23" t="s">
        <v>51</v>
      </c>
      <c r="E23">
        <v>4471.2999999999956</v>
      </c>
      <c r="F23">
        <v>11191.988700677517</v>
      </c>
    </row>
    <row r="24" spans="4:16" ht="15" thickBot="1" x14ac:dyDescent="0.35">
      <c r="D24" s="13" t="s">
        <v>52</v>
      </c>
      <c r="E24" s="13">
        <v>243</v>
      </c>
      <c r="F24" s="13">
        <v>243</v>
      </c>
    </row>
    <row r="25" spans="4:16" ht="21" x14ac:dyDescent="0.4">
      <c r="J25" s="14" t="s">
        <v>63</v>
      </c>
      <c r="K25" s="15"/>
      <c r="L25" s="15"/>
      <c r="M25" s="15"/>
      <c r="N25" s="15"/>
      <c r="O25" s="15"/>
      <c r="P25" s="15"/>
    </row>
  </sheetData>
  <mergeCells count="2">
    <mergeCell ref="L7:N7"/>
    <mergeCell ref="J25:P25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7C8B-B267-4FE1-801E-02AC87D1C610}">
  <dimension ref="A3:K18"/>
  <sheetViews>
    <sheetView workbookViewId="0">
      <selection activeCell="I14" sqref="I14:J14"/>
    </sheetView>
  </sheetViews>
  <sheetFormatPr defaultRowHeight="14.4" x14ac:dyDescent="0.3"/>
  <cols>
    <col min="1" max="1" width="12.44140625" bestFit="1" customWidth="1"/>
    <col min="2" max="2" width="15.44140625" bestFit="1" customWidth="1"/>
    <col min="4" max="4" width="20.109375" bestFit="1" customWidth="1"/>
    <col min="5" max="5" width="17" bestFit="1" customWidth="1"/>
    <col min="7" max="7" width="14.109375" bestFit="1" customWidth="1"/>
    <col min="8" max="8" width="15.5546875" bestFit="1" customWidth="1"/>
    <col min="9" max="9" width="10.88671875" bestFit="1" customWidth="1"/>
    <col min="10" max="10" width="8.77734375" bestFit="1" customWidth="1"/>
    <col min="11" max="11" width="10.5546875" bestFit="1" customWidth="1"/>
    <col min="12" max="12" width="14.44140625" bestFit="1" customWidth="1"/>
    <col min="13" max="13" width="15.5546875" bestFit="1" customWidth="1"/>
    <col min="14" max="14" width="10.5546875" bestFit="1" customWidth="1"/>
  </cols>
  <sheetData>
    <row r="3" spans="1:11" ht="15.6" x14ac:dyDescent="0.3">
      <c r="A3" t="s">
        <v>65</v>
      </c>
      <c r="B3" t="s">
        <v>66</v>
      </c>
      <c r="D3" s="16" t="s">
        <v>68</v>
      </c>
      <c r="E3" s="17"/>
    </row>
    <row r="4" spans="1:11" x14ac:dyDescent="0.3">
      <c r="A4">
        <v>195246.44999999995</v>
      </c>
      <c r="B4">
        <v>75957.300000000047</v>
      </c>
      <c r="D4" s="7" t="s">
        <v>54</v>
      </c>
      <c r="E4" t="s">
        <v>58</v>
      </c>
    </row>
    <row r="5" spans="1:11" x14ac:dyDescent="0.3">
      <c r="D5" s="8" t="s">
        <v>36</v>
      </c>
      <c r="E5">
        <v>47887.574999999997</v>
      </c>
      <c r="H5" s="17" t="s">
        <v>70</v>
      </c>
      <c r="I5" s="17"/>
    </row>
    <row r="6" spans="1:11" x14ac:dyDescent="0.3">
      <c r="D6" s="8" t="s">
        <v>35</v>
      </c>
      <c r="E6">
        <v>16348.074999999995</v>
      </c>
      <c r="G6" s="7" t="s">
        <v>64</v>
      </c>
      <c r="H6" s="7" t="s">
        <v>67</v>
      </c>
    </row>
    <row r="7" spans="1:11" x14ac:dyDescent="0.3">
      <c r="D7" s="8" t="s">
        <v>33</v>
      </c>
      <c r="E7">
        <v>8151.1750000000065</v>
      </c>
      <c r="G7" s="7" t="s">
        <v>54</v>
      </c>
      <c r="H7" t="s">
        <v>20</v>
      </c>
      <c r="I7" t="s">
        <v>16</v>
      </c>
      <c r="J7" t="s">
        <v>11</v>
      </c>
      <c r="K7" t="s">
        <v>55</v>
      </c>
    </row>
    <row r="8" spans="1:11" x14ac:dyDescent="0.3">
      <c r="D8" s="8" t="s">
        <v>34</v>
      </c>
      <c r="E8">
        <v>2707.8999999999978</v>
      </c>
      <c r="G8" s="8" t="s">
        <v>19</v>
      </c>
      <c r="H8" s="9">
        <v>6.8487928973868656E-2</v>
      </c>
      <c r="I8" s="9">
        <v>0.11797333575079087</v>
      </c>
      <c r="J8" s="9">
        <v>4.5967673163839852E-2</v>
      </c>
      <c r="K8" s="9">
        <v>0.23242893788849939</v>
      </c>
    </row>
    <row r="9" spans="1:11" x14ac:dyDescent="0.3">
      <c r="D9" s="8" t="s">
        <v>32</v>
      </c>
      <c r="E9">
        <v>862.57500000000107</v>
      </c>
      <c r="G9" s="8" t="s">
        <v>14</v>
      </c>
      <c r="H9" s="9">
        <v>0.18805015404889563</v>
      </c>
      <c r="I9" s="9">
        <v>0.17880786052704156</v>
      </c>
      <c r="J9" s="9">
        <v>3.9103143744739022E-3</v>
      </c>
      <c r="K9" s="9">
        <v>0.37076832895041117</v>
      </c>
    </row>
    <row r="10" spans="1:11" x14ac:dyDescent="0.3">
      <c r="D10" s="8" t="s">
        <v>55</v>
      </c>
      <c r="E10">
        <v>75957.299999999988</v>
      </c>
      <c r="G10" s="8" t="s">
        <v>10</v>
      </c>
      <c r="H10" s="9">
        <v>5.412415949176029E-2</v>
      </c>
      <c r="I10" s="9">
        <v>0.17347165595072278</v>
      </c>
      <c r="J10" s="9">
        <v>0.16920691771860641</v>
      </c>
      <c r="K10" s="9">
        <v>0.39680273316108949</v>
      </c>
    </row>
    <row r="11" spans="1:11" x14ac:dyDescent="0.3">
      <c r="G11" s="8" t="s">
        <v>55</v>
      </c>
      <c r="H11" s="9">
        <v>0.31066224251452457</v>
      </c>
      <c r="I11" s="9">
        <v>0.47025285222855528</v>
      </c>
      <c r="J11" s="9">
        <v>0.21908490525692018</v>
      </c>
      <c r="K11" s="9">
        <v>1</v>
      </c>
    </row>
    <row r="14" spans="1:11" x14ac:dyDescent="0.3">
      <c r="D14" s="3"/>
      <c r="E14" s="3"/>
    </row>
    <row r="15" spans="1:11" x14ac:dyDescent="0.3">
      <c r="D15" s="7" t="s">
        <v>54</v>
      </c>
      <c r="E15" t="s">
        <v>64</v>
      </c>
    </row>
    <row r="16" spans="1:11" x14ac:dyDescent="0.3">
      <c r="D16" s="8" t="s">
        <v>56</v>
      </c>
      <c r="E16">
        <v>84286.250000000015</v>
      </c>
    </row>
    <row r="17" spans="4:5" x14ac:dyDescent="0.3">
      <c r="D17" s="8" t="s">
        <v>57</v>
      </c>
      <c r="E17">
        <v>110960.20000000001</v>
      </c>
    </row>
    <row r="18" spans="4:5" x14ac:dyDescent="0.3">
      <c r="D18" s="8" t="s">
        <v>55</v>
      </c>
      <c r="E18">
        <v>195246.45</v>
      </c>
    </row>
  </sheetData>
  <mergeCells count="2">
    <mergeCell ref="D3:E3"/>
    <mergeCell ref="H5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B7D5-F0B1-49A9-B668-C97993B60EE9}">
  <dimension ref="A2:H11"/>
  <sheetViews>
    <sheetView workbookViewId="0">
      <selection activeCell="B2" sqref="B2"/>
    </sheetView>
  </sheetViews>
  <sheetFormatPr defaultRowHeight="14.4" x14ac:dyDescent="0.3"/>
  <cols>
    <col min="1" max="1" width="24.77734375" customWidth="1"/>
    <col min="2" max="2" width="24.88671875" customWidth="1"/>
  </cols>
  <sheetData>
    <row r="2" spans="1:8" ht="15.6" x14ac:dyDescent="0.3">
      <c r="A2" s="12" t="s">
        <v>8</v>
      </c>
      <c r="B2" t="s">
        <v>24</v>
      </c>
      <c r="G2" s="17" t="s">
        <v>69</v>
      </c>
      <c r="H2" s="17"/>
    </row>
    <row r="3" spans="1:8" ht="15.6" x14ac:dyDescent="0.3">
      <c r="A3" s="12" t="s">
        <v>9</v>
      </c>
      <c r="B3" t="str">
        <f>_xlfn.XLOOKUP(B2,table!J2:J244,table!L2:L244)</f>
        <v>Lisbon</v>
      </c>
    </row>
    <row r="4" spans="1:8" ht="15.6" x14ac:dyDescent="0.3">
      <c r="A4" s="12" t="s">
        <v>39</v>
      </c>
      <c r="B4" t="str">
        <f>_xlfn.XLOOKUP(B2,table!J2:J244,table!M2:M244)</f>
        <v>Portugal</v>
      </c>
    </row>
    <row r="5" spans="1:8" ht="15.6" x14ac:dyDescent="0.3">
      <c r="A5" s="12" t="s">
        <v>59</v>
      </c>
      <c r="B5">
        <f>SUMIFS(table!N2:N244,table!J2:J244,report!B2)</f>
        <v>35553.099999999977</v>
      </c>
    </row>
    <row r="6" spans="1:8" x14ac:dyDescent="0.3">
      <c r="A6" s="11" t="s">
        <v>2</v>
      </c>
      <c r="B6" s="11" t="s">
        <v>60</v>
      </c>
    </row>
    <row r="7" spans="1:8" x14ac:dyDescent="0.3">
      <c r="A7" t="s">
        <v>32</v>
      </c>
      <c r="B7">
        <f>SUMIFS(table!N2:N244,table!J2:J244,report!B2,table!C2:C244,report!A8)</f>
        <v>5146.9250000000002</v>
      </c>
    </row>
    <row r="8" spans="1:8" x14ac:dyDescent="0.3">
      <c r="A8" t="s">
        <v>35</v>
      </c>
      <c r="B8">
        <f>SUMIFS( table!N2:N244,table!J2:J244,report!B2,table!C2:C244,report!A8)</f>
        <v>5146.9250000000002</v>
      </c>
    </row>
    <row r="9" spans="1:8" x14ac:dyDescent="0.3">
      <c r="A9" t="s">
        <v>34</v>
      </c>
      <c r="B9">
        <f>SUMIFS(table!N3:N245,table!J3:J245,report!B2,table!C3:C245,A9)</f>
        <v>9787.7999999999993</v>
      </c>
    </row>
    <row r="10" spans="1:8" x14ac:dyDescent="0.3">
      <c r="A10" t="s">
        <v>33</v>
      </c>
      <c r="B10">
        <f>SUMIFS(table!N4:N246,table!J4:J246,report!B2,table!C4:C246,report!A10)</f>
        <v>6186.6500000000024</v>
      </c>
    </row>
    <row r="11" spans="1:8" x14ac:dyDescent="0.3">
      <c r="A11" t="s">
        <v>36</v>
      </c>
      <c r="B11">
        <f>SUMIFS(table!N5:N247,table!J5:J247,report!B2,table!C5:C247,report!A11)</f>
        <v>13654.2</v>
      </c>
    </row>
  </sheetData>
  <mergeCells count="1">
    <mergeCell ref="G2:H2"/>
  </mergeCells>
  <conditionalFormatting sqref="B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{0C66D3C4-60D4-4932-92E9-5191EEFB1A8D}</x14:id>
        </ext>
      </extLst>
    </cfRule>
  </conditionalFormatting>
  <conditionalFormatting sqref="B6:B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{743DE4E2-061A-41D0-BC44-1EC37CD297CE}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66D3C4-60D4-4932-92E9-5191EEFB1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743DE4E2-061A-41D0-BC44-1EC37CD297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B6:B11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F9AECB-58EA-4E24-AF9A-75C0FDB61E4A}">
          <x14:formula1>
            <xm:f>table!$J$2:$J$244</xm:f>
          </x14:formula1>
          <xm:sqref>B2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A3F61AEEE86445994A3E0F07BC3FC1" ma:contentTypeVersion="1" ma:contentTypeDescription="Create a new document." ma:contentTypeScope="" ma:versionID="b5dbcb6aa64e31b275b0ad49e0bf9d0e">
  <xsd:schema xmlns:xsd="http://www.w3.org/2001/XMLSchema" xmlns:xs="http://www.w3.org/2001/XMLSchema" xmlns:p="http://schemas.microsoft.com/office/2006/metadata/properties" xmlns:ns2="aae35ae3-598a-46ce-bd57-1bc6c861165a" targetNamespace="http://schemas.microsoft.com/office/2006/metadata/properties" ma:root="true" ma:fieldsID="ba542e425f24717b116c203a3a50e4de" ns2:_="">
    <xsd:import namespace="aae35ae3-598a-46ce-bd57-1bc6c861165a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35ae3-598a-46ce-bd57-1bc6c861165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ae35ae3-598a-46ce-bd57-1bc6c861165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A14A79-FABB-4DA8-9671-269F9CEE5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e35ae3-598a-46ce-bd57-1bc6c86116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BB06DD-E183-4B6B-B102-5C991DB806E7}">
  <ds:schemaRefs>
    <ds:schemaRef ds:uri="http://schemas.microsoft.com/office/2006/metadata/properties"/>
    <ds:schemaRef ds:uri="http://schemas.microsoft.com/office/infopath/2007/PartnerControls"/>
    <ds:schemaRef ds:uri="aae35ae3-598a-46ce-bd57-1bc6c861165a"/>
  </ds:schemaRefs>
</ds:datastoreItem>
</file>

<file path=customXml/itemProps3.xml><?xml version="1.0" encoding="utf-8"?>
<ds:datastoreItem xmlns:ds="http://schemas.openxmlformats.org/officeDocument/2006/customXml" ds:itemID="{CF5CE414-9C95-407C-895F-18C0B56C27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</vt:lpstr>
      <vt:lpstr>DESCRIPTIVE STATISTICS</vt:lpstr>
      <vt:lpstr>Data Analysis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Rotoklis</dc:creator>
  <cp:lastModifiedBy>Ashraful Haq</cp:lastModifiedBy>
  <dcterms:created xsi:type="dcterms:W3CDTF">2024-04-09T16:39:29Z</dcterms:created>
  <dcterms:modified xsi:type="dcterms:W3CDTF">2026-04-23T17:42:24Z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0x010100C0A3F61AEEE86445994A3E0F07BC3FC1</vt:lpwstr>
  </property>
</Properties>
</file>